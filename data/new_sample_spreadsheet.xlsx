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0. Introdução ao LangChain (Niv" sheetId="2" r:id="rId6"/>
    <sheet state="visible" name="1. Fundamentos de IA Generativa" sheetId="3" r:id="rId7"/>
    <sheet state="visible" name="2. Prompt Engineering" sheetId="4" r:id="rId8"/>
    <sheet state="visible" name="3. Design Docs com IA" sheetId="5" r:id="rId9"/>
    <sheet state="visible" name="4. Desenvolvimento de Software " sheetId="6" r:id="rId10"/>
    <sheet state="visible" name="Desafios" sheetId="7" r:id="rId11"/>
    <sheet state="visible" name="Bônus - Lives Extras" sheetId="8" r:id="rId12"/>
    <sheet state="visible" name="Aulas Ao Vivo" sheetId="9" r:id="rId13"/>
    <sheet state="visible" name="⚡️ Claude Agent Skills" sheetId="10" r:id="rId14"/>
  </sheets>
  <definedNames/>
  <calcPr/>
</workbook>
</file>

<file path=xl/sharedStrings.xml><?xml version="1.0" encoding="utf-8"?>
<sst xmlns="http://schemas.openxmlformats.org/spreadsheetml/2006/main" count="806" uniqueCount="371">
  <si>
    <t>MBA</t>
  </si>
  <si>
    <t>Cursos Livres</t>
  </si>
  <si>
    <t>Todas</t>
  </si>
  <si>
    <t>Obrigatórias</t>
  </si>
  <si>
    <t>Bônus</t>
  </si>
  <si>
    <t>Total</t>
  </si>
  <si>
    <t>✅ Completed</t>
  </si>
  <si>
    <t>⬜ Not Started</t>
  </si>
  <si>
    <t>#</t>
  </si>
  <si>
    <t>Module/Class</t>
  </si>
  <si>
    <t>Duration (HH:MM:SS)</t>
  </si>
  <si>
    <t>Status</t>
  </si>
  <si>
    <t>Notes</t>
  </si>
  <si>
    <t>Material e código-fonte: Código fonte</t>
  </si>
  <si>
    <t>Total de Hrs</t>
  </si>
  <si>
    <t>Introdução: Introdução ao LangChain</t>
  </si>
  <si>
    <t>Introdução: Histórico e ecossistema</t>
  </si>
  <si>
    <t>Introdução: Principais recursos</t>
  </si>
  <si>
    <t>Introdução: Entendendo arquitetura básica</t>
  </si>
  <si>
    <t>Primeiros passos: Configurando ambiente de desenvolvimento</t>
  </si>
  <si>
    <t>Primeiros passos: Criando API Keys</t>
  </si>
  <si>
    <t>Primeiros passos: Chamando LLM pela primeira vez</t>
  </si>
  <si>
    <t>Primeiros passos: PromptTemplate</t>
  </si>
  <si>
    <t>Chains e processamento: Iniciando com Chains</t>
  </si>
  <si>
    <t>Chains e processamento: Chains como decorators</t>
  </si>
  <si>
    <t>Chains e processamento: Runnable Lambdas</t>
  </si>
  <si>
    <t>Chains e processamento: Criando Pipeline com mais etapas</t>
  </si>
  <si>
    <t>Chains e processamento: Iniciando com sumarização</t>
  </si>
  <si>
    <t>Chains e processamento: TextSpliter e Sumarização</t>
  </si>
  <si>
    <t>Chains e processamento: Sumarização com map e reduce</t>
  </si>
  <si>
    <t>Chains e processamento: Criando pipeline customizado de sumarização</t>
  </si>
  <si>
    <t>Chains e processamento: Observação sobre Prompts personalizados</t>
  </si>
  <si>
    <t>Desenvolvimento de agentes e ReAct: Agentes e ReAct</t>
  </si>
  <si>
    <t>Desenvolvimento de agentes e ReAct: Criando Tools</t>
  </si>
  <si>
    <t>Desenvolvimento de agentes e ReAct: Desenvolvendo Agente</t>
  </si>
  <si>
    <t>Desenvolvimento de agentes e ReAct: Usando Hub para Prompts prontos</t>
  </si>
  <si>
    <t>Gerenciamento de memória: Introdução a memória</t>
  </si>
  <si>
    <t>Gerenciamento de memória: Armazenamento do histórico de conversas</t>
  </si>
  <si>
    <t>Gerenciamento de memória: Histórico baseado em sliding window</t>
  </si>
  <si>
    <t>Data loading e RAG: Introdução a Data Loading e RAG</t>
  </si>
  <si>
    <t>Data loading e RAG: Chunking</t>
  </si>
  <si>
    <t>Data loading e RAG: Data loading com o WebBaseLoader</t>
  </si>
  <si>
    <t>Data loading e RAG: Carregamento de PDF</t>
  </si>
  <si>
    <t>Data loading e RAG: Iniciando com PgVector</t>
  </si>
  <si>
    <t>Data loading e RAG: Enriquecendo documentos</t>
  </si>
  <si>
    <t>Data loading e RAG: Criando Store para o PGVector</t>
  </si>
  <si>
    <t>Data loading e RAG: Fazendo a ingestão dos documentos</t>
  </si>
  <si>
    <t>Data loading e RAG: Fazendo busca vetorial</t>
  </si>
  <si>
    <t>Materiais: Slides</t>
  </si>
  <si>
    <t>Introdução: Introdução</t>
  </si>
  <si>
    <t>Introdução: Nosso momento</t>
  </si>
  <si>
    <t>Gen IA: O que é Gen AI</t>
  </si>
  <si>
    <t>Gen IA: Introdução as diferenças de IA</t>
  </si>
  <si>
    <t>Gen IA: Como a Gen AI aprende</t>
  </si>
  <si>
    <t>Gen IA: História da IA, o início</t>
  </si>
  <si>
    <t>Gen IA: O inverno da IA</t>
  </si>
  <si>
    <t>Gen IA: Evolução dos modelos 2 gramas</t>
  </si>
  <si>
    <t>Aprofundando na IA e LLM: Cadeias de Markov</t>
  </si>
  <si>
    <t>Aprofundando na IA e LLM: Redes neurais profundas</t>
  </si>
  <si>
    <t>Aprofundando na IA e LLM: RNNs</t>
  </si>
  <si>
    <t>Aprofundando na IA e LLM: Transformers</t>
  </si>
  <si>
    <t>Aprofundando na IA e LLM: Tokens</t>
  </si>
  <si>
    <t>Aprofundando na IA e LLM: LLMs</t>
  </si>
  <si>
    <t>Aprofundando na IA e LLM: GANs</t>
  </si>
  <si>
    <t>Aprofundando na IA e LLM: Aprofundando em LLM</t>
  </si>
  <si>
    <t>Aprofundando na IA e LLM: Position Wise Layers</t>
  </si>
  <si>
    <t>Aprofundando na IA e LLM: Positional encoding</t>
  </si>
  <si>
    <t>Aprofundando na IA e LLM: LayerNorm</t>
  </si>
  <si>
    <t>Aprofundando na IA e LLM: Pré treinamento</t>
  </si>
  <si>
    <t>Aprofundando na IA e LLM: MLM</t>
  </si>
  <si>
    <t>Aprofundando na IA e LLM: Fine Tuning supervisionado</t>
  </si>
  <si>
    <t>Aprofundando na IA e LLM: RLHF</t>
  </si>
  <si>
    <t>Aprofundando na IA e LLM: Otimização para grandes modelos</t>
  </si>
  <si>
    <t>Aprofundando na IA e LLM: Alucinação</t>
  </si>
  <si>
    <t>Aprofundando na IA e LLM: Estratégias alucinação</t>
  </si>
  <si>
    <t>Aprofundando na IA e LLM: Context window</t>
  </si>
  <si>
    <t>Aprofundando na IA e LLM: Raciocínio simbólico</t>
  </si>
  <si>
    <t>Aprofundando na IA e LLM: Conhecimento em tempo real</t>
  </si>
  <si>
    <t>Aprofundando na IA e LLM: Objetivos geração de respostas</t>
  </si>
  <si>
    <t>Hands on: Introdução a temperatura</t>
  </si>
  <si>
    <t>Hands on: Hands on - Temperatura</t>
  </si>
  <si>
    <t>Hands on: Hands on - Janela tokens</t>
  </si>
  <si>
    <t>Hands on: Top_K &amp; Top_P</t>
  </si>
  <si>
    <t>Hands on: Encoder-only</t>
  </si>
  <si>
    <t>Hands on: Decoder-only</t>
  </si>
  <si>
    <t>Hands on: Hands on - Similaridade</t>
  </si>
  <si>
    <t>Hands on: Explorando soluções</t>
  </si>
  <si>
    <t>Hands on: Engenharia de prompt</t>
  </si>
  <si>
    <t>Hands on: Arquitetura RAG</t>
  </si>
  <si>
    <t>Revisando: Revisão pt.1</t>
  </si>
  <si>
    <t>Revisando: Revisão pt.2</t>
  </si>
  <si>
    <t>Revisando: Revisão pt.3</t>
  </si>
  <si>
    <t>Revisando: Revisão pt.4</t>
  </si>
  <si>
    <t>Revisando: Encerramento</t>
  </si>
  <si>
    <t>Material e código-fonte: Material</t>
  </si>
  <si>
    <t>Iniciando com Prompt Engineering: Introdução e overview da disciplina</t>
  </si>
  <si>
    <t>Iniciando com Prompt Engineering: O que realmente e prompt engineering</t>
  </si>
  <si>
    <t>Iniciando com Prompt Engineering: Outras aplicabilidades</t>
  </si>
  <si>
    <t>Iniciando com Prompt Engineering: Tipos e tecnicas e Prompts</t>
  </si>
  <si>
    <t>Iniciando com Prompt Engineering: Role Prompting</t>
  </si>
  <si>
    <t>Iniciando com Prompt Engineering: Role Prompting na prática</t>
  </si>
  <si>
    <t>Iniciando com Prompt Engineering: Trabalhando com zero-shot em diversos modelos</t>
  </si>
  <si>
    <t>Iniciando com Prompt Engineering: One e Few-shot e situações críticas</t>
  </si>
  <si>
    <t>Iniciando com Prompt Engineering: Conceitos básicos de Chain of Thought</t>
  </si>
  <si>
    <t>Iniciando com Prompt Engineering: CoT na prática e seus conflitos</t>
  </si>
  <si>
    <t>Iniciando com Prompt Engineering: CoT com Self-consistency</t>
  </si>
  <si>
    <t>Iniciando com Prompt Engineering: Explorando diversos caminhos com Tree of Thought</t>
  </si>
  <si>
    <t>Iniciando com Prompt Engineering: Skeleton of Thought e resultados incríveis</t>
  </si>
  <si>
    <t>Iniciando com Prompt Engineering: Conceitos básicos do ReAct</t>
  </si>
  <si>
    <t>Iniciando com Prompt Engineering: Identificando bugs na prática com ReAct</t>
  </si>
  <si>
    <t>Iniciando com Prompt Engineering: Usando ReAct para análise de trade-offs</t>
  </si>
  <si>
    <t>Iniciando com Prompt Engineering: Prompt Channing na prática com LangChain</t>
  </si>
  <si>
    <t>Iniciando com Prompt Engineering: Conclusões</t>
  </si>
  <si>
    <t>Conceitos importantes: Revisitando conceitos</t>
  </si>
  <si>
    <t>Conceitos importantes: Context Window para Prompt Engineering</t>
  </si>
  <si>
    <t>Conceitos importantes: Context Window vs memória, custo e latência</t>
  </si>
  <si>
    <t>Conceitos importantes: Janela de contexto vs parâmetros</t>
  </si>
  <si>
    <t>Conceitos importantes: Truncamento</t>
  </si>
  <si>
    <t>Conceitos importantes: Sumarização</t>
  </si>
  <si>
    <t>Conceitos importantes: Sliding window</t>
  </si>
  <si>
    <t>Conceitos importantes: Prompt Caching</t>
  </si>
  <si>
    <t>Conceitos importantes: Batch Prompting</t>
  </si>
  <si>
    <t>Conceitos importantes: Demonstração prática para batch prompting</t>
  </si>
  <si>
    <t>Estrutura básica de prompts: Estruturação de Prompts</t>
  </si>
  <si>
    <t>Estrutura básica de prompts: Uma simples correção de Bug</t>
  </si>
  <si>
    <t>Estrutura básica de prompts: Minha IA produziu um lixo</t>
  </si>
  <si>
    <t>Estrutura básica de prompts: Prompts no processo de desenvolvimento</t>
  </si>
  <si>
    <t>Estrutura básica de prompts: Utilização e larga escala</t>
  </si>
  <si>
    <t>Estrutura básica de prompts: Guidelines e trade-offs</t>
  </si>
  <si>
    <t>Estrutura básica de prompts: System vs User Prompt</t>
  </si>
  <si>
    <t>Estrutura básica de prompts: Exemplo estruturado de prompts</t>
  </si>
  <si>
    <t>Estrutura básica de prompts: Finalizando com regras de ouro</t>
  </si>
  <si>
    <t>Prompt para execução de agentes workflows: Analisando estruturas de prompts</t>
  </si>
  <si>
    <t>Prompt para execução de agentes workflows: Dependency Auditor Agent Prompt</t>
  </si>
  <si>
    <t>Prompt para execução de agentes workflows: Resultado gerado pelo prompt</t>
  </si>
  <si>
    <t>Prompt para execução de agentes workflows: Arquivo declarativo do Agent e Prompt como Metadados</t>
  </si>
  <si>
    <t>Prompt para execução de agentes workflows: Executando Agente na prática</t>
  </si>
  <si>
    <t>Prompt para execução de agentes workflows: Estruturas especificas de prompts</t>
  </si>
  <si>
    <t>Prompt para execução de agentes workflows: Visão geral do workflow de um projeto</t>
  </si>
  <si>
    <t>Prompt para execução de agentes workflows: Analisando prompt especialista em analisar arquiteturas</t>
  </si>
  <si>
    <t>Prompt para execução de agentes workflows: Analisando prompt de analise de componentes</t>
  </si>
  <si>
    <t>Prompt para execução de agentes workflows: Workflow Specification Prompt</t>
  </si>
  <si>
    <t>Prompt para execução de agentes workflows: Role Specification como Orquestrador</t>
  </si>
  <si>
    <t>Gestão e versionamento de prompt: Versionamento de prompts</t>
  </si>
  <si>
    <t>Gestão e versionamento de prompt: Prompts para produtividade em equipe</t>
  </si>
  <si>
    <t>Gestão e versionamento de prompt: Gestão e controle de versão</t>
  </si>
  <si>
    <t>Gestão e versionamento de prompt: Documentação e categorização</t>
  </si>
  <si>
    <t>Gestão e versionamento de prompt: Prompts utilizados por projetos de IA</t>
  </si>
  <si>
    <t>Gestão e versionamento de prompt: Registry e estrutura de pastas</t>
  </si>
  <si>
    <t>Gestão e versionamento de prompt: Visão geral com prompt.yaml</t>
  </si>
  <si>
    <t>Gestão e versionamento de prompt: Executando testes automatizados</t>
  </si>
  <si>
    <t>Gestão e versionamento de prompt: Exemplo prático com Agent Code Reviewer</t>
  </si>
  <si>
    <t>Gestão e versionamento de prompt: Exemplo com PR e outras considerações</t>
  </si>
  <si>
    <t>Gestão e versionamento de prompt: Soluções de terceiros para gestão</t>
  </si>
  <si>
    <t>Gestão e versionamento de prompt: Langsmith Prompt Hub</t>
  </si>
  <si>
    <t>Gestão e versionamento de prompt: Entendendo Langsmith</t>
  </si>
  <si>
    <t>Gestão e versionamento de prompt: Criando prompt via interface</t>
  </si>
  <si>
    <t>Gestão e versionamento de prompt: Fazendo push de um prompt</t>
  </si>
  <si>
    <t>Gestão e versionamento de prompt: Fazendo pull e controle de versão</t>
  </si>
  <si>
    <t>Gestão e versionamento de prompt: Concluindo</t>
  </si>
  <si>
    <t>Query reformulation e prompt enrichment: Introdução a Prompt Enrichement</t>
  </si>
  <si>
    <t>Query reformulation e prompt enrichment: Necessidades para reformulação e enriquecimento de prompts</t>
  </si>
  <si>
    <t>Query reformulation e prompt enrichment: Fluxo basico e considerações importantes</t>
  </si>
  <si>
    <t>Query reformulation e prompt enrichment: Query2Doc</t>
  </si>
  <si>
    <t>Query reformulation e prompt enrichment: Hyde vs Query2Doc</t>
  </si>
  <si>
    <t>Query reformulation e prompt enrichment: ITER-RETGEN</t>
  </si>
  <si>
    <t>Query reformulation e prompt enrichment: Resposta simples sem expansao na prtica</t>
  </si>
  <si>
    <t>Query reformulation e prompt enrichment: ITER-RETGEN na prática - parte 1</t>
  </si>
  <si>
    <t>Query reformulation e prompt enrichment: ITER-RETGEN na prática - parte 2</t>
  </si>
  <si>
    <t>Query reformulation e prompt enrichment: Enriquecimento de queries na prática</t>
  </si>
  <si>
    <t>Prompt Evaluation: Introdução a Prompt Evaluation</t>
  </si>
  <si>
    <t>Prompt Evaluation: O que devemos avaliar</t>
  </si>
  <si>
    <t>Prompt Evaluation: Entendendo Objetivos</t>
  </si>
  <si>
    <t>Prompt Evaluation: Métricas e tipos de avaliação</t>
  </si>
  <si>
    <t>Prompt Evaluation: Evaluators</t>
  </si>
  <si>
    <t>Prompt Evaluation: Datasets</t>
  </si>
  <si>
    <t>Prompt Evaluation: Entendendo estrutura dos exemplos</t>
  </si>
  <si>
    <t>Prompt Evaluation: Executando primeira avaliação</t>
  </si>
  <si>
    <t>Prompt Evaluation: Evaluators binarios</t>
  </si>
  <si>
    <t>Prompt Evaluation: Score com range</t>
  </si>
  <si>
    <t>Prompt Evaluation: Additional criteria</t>
  </si>
  <si>
    <t>Prompt Evaluation: Embedding distance</t>
  </si>
  <si>
    <t>Prompt Evaluation: Revisor otimista</t>
  </si>
  <si>
    <t>Prompt Evaluation: Revisor verboso</t>
  </si>
  <si>
    <t>Prompt Evaluation: Alucinação e sem utilidade</t>
  </si>
  <si>
    <t>Prompt Evaluation: Cenas para os próximos capítulos</t>
  </si>
  <si>
    <t>Evaluation Comparativa: Precision</t>
  </si>
  <si>
    <t>Evaluation Comparativa: Recall</t>
  </si>
  <si>
    <t>Evaluation Comparativa: F1</t>
  </si>
  <si>
    <t>Evaluation Comparativa: Quando usar no mundo real</t>
  </si>
  <si>
    <t>Evaluation Comparativa: Entendendo 3 tipos de prompt</t>
  </si>
  <si>
    <t>Evaluation Comparativa: Calculando as métricas</t>
  </si>
  <si>
    <t>Evaluation Comparativa: Comparação na prática</t>
  </si>
  <si>
    <t>Evaluation Comparativa: Entendendo Pairwise Evaluator vs Evaluation</t>
  </si>
  <si>
    <t>Evaluation Comparativa: Contexto do nosso experimento</t>
  </si>
  <si>
    <t>Evaluation Comparativa: Executando Pairwise</t>
  </si>
  <si>
    <t>Evaluation Comparativa: Refazendo evaluation com prompt otimizado</t>
  </si>
  <si>
    <t>Evaluation Comparativa: Pairwise com justificativa do LLM-as-Judge</t>
  </si>
  <si>
    <t>Material: Templates PRD</t>
  </si>
  <si>
    <t>Material: Design e Arquitetura</t>
  </si>
  <si>
    <t>Material: Engineering Guidelines</t>
  </si>
  <si>
    <t>Material: Classificação de Documentos</t>
  </si>
  <si>
    <t>Material: Plugins Claude Code</t>
  </si>
  <si>
    <t>Introdução: Alinhando expectativas</t>
  </si>
  <si>
    <t>Introdução: Contextualizando o mundo da documentação</t>
  </si>
  <si>
    <t>Introdução: RUP</t>
  </si>
  <si>
    <t>Introdução: Agile</t>
  </si>
  <si>
    <t>Introdução: Problemas conhecidos</t>
  </si>
  <si>
    <t>Documentação na era da IA: Documentação na era da IA</t>
  </si>
  <si>
    <t>Documentação na era da IA: Tipos de documentação e Design Docs</t>
  </si>
  <si>
    <t>Documentação na era da IA: PRDs - Product Requirement Document</t>
  </si>
  <si>
    <t>Documentação na era da IA: Seções de um PRD</t>
  </si>
  <si>
    <t>Documentação na era da IA: PRDs de Alto Nivel</t>
  </si>
  <si>
    <t>Documentação na era da IA: PRDs de Feature e casos de uso</t>
  </si>
  <si>
    <t>Documentação na era da IA: Principais Seções em um PRD de Feature</t>
  </si>
  <si>
    <t>Documentação na era da IA: Exemplo 1 de PRD</t>
  </si>
  <si>
    <t>Documentação na era da IA: Exemplo 2 de PRD e JSON Opcional</t>
  </si>
  <si>
    <t>Documentação na era da IA: Prompt para geração de PRD</t>
  </si>
  <si>
    <t>Design e Arquitetura: Documentos de Design e Arquitetura</t>
  </si>
  <si>
    <t>Design e Arquitetura: Documentos comuns</t>
  </si>
  <si>
    <t>Design e Arquitetura: High Level Design</t>
  </si>
  <si>
    <t>Design e Arquitetura: Exemplo de um High Level Design Document</t>
  </si>
  <si>
    <t>Design e Arquitetura: Prompt para High Level Design</t>
  </si>
  <si>
    <t>Design e Arquitetura: Feature Design Doc</t>
  </si>
  <si>
    <t>Design e Arquitetura: Exemplo de um FDD</t>
  </si>
  <si>
    <t>Design e Arquitetura: Prompt para FDD</t>
  </si>
  <si>
    <t>Design e Arquitetura: Realizando Deep Research</t>
  </si>
  <si>
    <t>Design e Arquitetura: Adaptando Deep Research a um novo formato</t>
  </si>
  <si>
    <t>Design e Arquitetura: Gerando um FDD a partir da Deep Research</t>
  </si>
  <si>
    <t>Diagramas - Design e Arquitetura: Introdução a diagramas</t>
  </si>
  <si>
    <t>Diagramas - Design e Arquitetura: Introdução aos diagramas C4</t>
  </si>
  <si>
    <t>Diagramas - Design e Arquitetura: C1-System Context</t>
  </si>
  <si>
    <t>Diagramas - Design e Arquitetura: C2-Containers</t>
  </si>
  <si>
    <t>Diagramas - Design e Arquitetura: C3-Component</t>
  </si>
  <si>
    <t>Diagramas - Design e Arquitetura: C4-Code</t>
  </si>
  <si>
    <t>Diagramas - Design e Arquitetura: Prompts e agentes</t>
  </si>
  <si>
    <t>Diagramas - Design e Arquitetura: Gerando diagrama C4</t>
  </si>
  <si>
    <t>Diagramas - Design e Arquitetura: Diagramas Mermaid</t>
  </si>
  <si>
    <t>Diagramas - Design e Arquitetura: Flowchart e Sequence Diagram</t>
  </si>
  <si>
    <t>Diagramas - Design e Arquitetura: Prática, Class e ER Diagram</t>
  </si>
  <si>
    <t>Diagramas - Design e Arquitetura: State Diagram</t>
  </si>
  <si>
    <t>Diagramas - Design e Arquitetura: Gerando diagramas Mermaid com IA</t>
  </si>
  <si>
    <t>Diagramas - Design e Arquitetura: Acesso aos prompts</t>
  </si>
  <si>
    <t>Architecture Decision Record: Introdução a ADRs</t>
  </si>
  <si>
    <t>Architecture Decision Record: Estrutura clássica</t>
  </si>
  <si>
    <t>Architecture Decision Record: MADRs</t>
  </si>
  <si>
    <t>Architecture Decision Record: Status, Metadados e Fluxos</t>
  </si>
  <si>
    <t>Architecture Decision Record: Boas práticas e dicas importantes</t>
  </si>
  <si>
    <t>Architecture Decision Record: Quando e recomendável utilizar ADRs</t>
  </si>
  <si>
    <t>Architecture Decision Record: Quando ADRs são opcionais</t>
  </si>
  <si>
    <t>Architecture Decision Record: Quando não devemos usar ADRs</t>
  </si>
  <si>
    <t>Architecture Decision Record: Agente de mapeamento na prática</t>
  </si>
  <si>
    <t>Architecture Decision Record: Criando potenciais ADRs</t>
  </si>
  <si>
    <t>Architecture Decision Record: Gerando ADRs com IA</t>
  </si>
  <si>
    <t>Architecture Decision Record: Linkando e relacionando ADRs</t>
  </si>
  <si>
    <t>Architecture Decision Record: Considerações finais</t>
  </si>
  <si>
    <t>Engineering Guidelines: Software Development Guidelines</t>
  </si>
  <si>
    <t>Engineering Guidelines: Guidelines na era da IA</t>
  </si>
  <si>
    <t>Engineering Guidelines: Seções sugeridas de um guideline</t>
  </si>
  <si>
    <t>Engineering Guidelines: Project Stack</t>
  </si>
  <si>
    <t>Engineering Guidelines: Documento como um todo e pre-commit</t>
  </si>
  <si>
    <t>Engineering Guidelines: Comando para geracao de guidelines - Parte 1</t>
  </si>
  <si>
    <t>Engineering Guidelines: Comando para geracao de guidelines - Parte 2</t>
  </si>
  <si>
    <t>Engineering Guidelines: Gerando guidelines na prática</t>
  </si>
  <si>
    <t>Engineering Guidelines: Classificação de Documentos e Considerações finais</t>
  </si>
  <si>
    <t>Introdução: Introdução e conceitos iniciais</t>
  </si>
  <si>
    <t>Introdução: Ferramentas e Workflows</t>
  </si>
  <si>
    <t>Introdução: Paralelização</t>
  </si>
  <si>
    <t>Introdução: Documentação e artefatos</t>
  </si>
  <si>
    <t>Introdução: Arquitetura de Software e solução</t>
  </si>
  <si>
    <t>Introdução: Spec Driven Development</t>
  </si>
  <si>
    <t>Introdução: Pilares do desenvolvimento com IA</t>
  </si>
  <si>
    <t>Introdução: Ferramentas e IDEs</t>
  </si>
  <si>
    <t>Introdução: Ferramentas que vamos utilizar durante o curso</t>
  </si>
  <si>
    <t>Introdução: Dinâmica da disciplina</t>
  </si>
  <si>
    <t>Quick start: O basico não é fácil</t>
  </si>
  <si>
    <t>Quick start: Pontos essenciais para desenvolvimento</t>
  </si>
  <si>
    <t>Quick start: Tentantiva de subir ambiente</t>
  </si>
  <si>
    <t>Quick start: A diferença do README.md</t>
  </si>
  <si>
    <t>Quick start: Scripts de inicialização</t>
  </si>
  <si>
    <t>Quick start: Arquivo de inicialização do agente</t>
  </si>
  <si>
    <t>Quick start: O que devemos ter nos arquivos de inicialização</t>
  </si>
  <si>
    <t>Quick start: O que NÃO deve entrar</t>
  </si>
  <si>
    <t>Quick start: Entendendo nos detalhes</t>
  </si>
  <si>
    <t>Quick start: Testabilidade</t>
  </si>
  <si>
    <t>Quick start: Gotchas e policies</t>
  </si>
  <si>
    <t>Quick start: Evolução</t>
  </si>
  <si>
    <t>Quick start: Otimizando arquivos existentes</t>
  </si>
  <si>
    <t>Quick start: Dica final</t>
  </si>
  <si>
    <t>Ingestão e busca semântica com LangChain e PostgreSQL: Iniciar</t>
  </si>
  <si>
    <t>Pull, Otimização e Avaliação de Prompts com LangChain e LangSmith</t>
  </si>
  <si>
    <t>System design e requisitos de engenharia: System design e requisitos de engenharia</t>
  </si>
  <si>
    <t>System design e requisitos de engenharia: Plano de capacidade</t>
  </si>
  <si>
    <t>System design e requisitos de engenharia: Entidades Core</t>
  </si>
  <si>
    <t>System design e requisitos de engenharia: Design de API</t>
  </si>
  <si>
    <t>System design e requisitos de engenharia: System design</t>
  </si>
  <si>
    <t>System design e requisitos de engenharia: Aprofundamento e questões criticas</t>
  </si>
  <si>
    <t>Estudo de caso Uber: Desafio do system design do Uber</t>
  </si>
  <si>
    <t>Estudo de caso Uber: Agora é sua vez</t>
  </si>
  <si>
    <t>Estudo de caso Instagram: Desafio do system design do Instagram</t>
  </si>
  <si>
    <t>Estudo de caso Instagram: Agora é sua vez</t>
  </si>
  <si>
    <t>Comunicação e resiliência: Introdução a comunicação e resiliência</t>
  </si>
  <si>
    <t>Comunicação e resiliência: Comunicação síncrona VS Comunicação assíncrona</t>
  </si>
  <si>
    <t>Comunicação e resiliência: Comunicação assíncrona</t>
  </si>
  <si>
    <t>Comunicação e resiliência: REST, gRPC e GraphQL</t>
  </si>
  <si>
    <t>Comunicação e resiliência: Tópicos, Filas, Kafka e RabbitMQ</t>
  </si>
  <si>
    <t>Comunicação e resiliência: Websockets vs SSE</t>
  </si>
  <si>
    <t>Comunicação e resiliência: Protobuf VS Flatbuffers</t>
  </si>
  <si>
    <t>Comunicação e resiliência: Próximo passo</t>
  </si>
  <si>
    <t>Devops e SRE: DevOps e SRE</t>
  </si>
  <si>
    <t>Devops e SRE: Contexto e antagonismo</t>
  </si>
  <si>
    <t>Devops e SRE: Resolução</t>
  </si>
  <si>
    <t>Devops e SRE: Começando com DevOps</t>
  </si>
  <si>
    <t>Devops e SRE: Cargo e evolução</t>
  </si>
  <si>
    <t>Devops e SRE: SRE</t>
  </si>
  <si>
    <t>Encontros no Zoom - Uber: Iniciando nosso System Design (estudo de caso da Uber)</t>
  </si>
  <si>
    <t>Encontros no Zoom - Uber: Entendendo sobre comunicações entre sistemas</t>
  </si>
  <si>
    <t>Encontros no Zoom - Uber: DevOps e SRE</t>
  </si>
  <si>
    <t>FC TechWeek IA #1: Fundamentos de IA, Prompt Enginering</t>
  </si>
  <si>
    <t>FC TechWeek IA #1: Workflow de desenvolvimento</t>
  </si>
  <si>
    <t>FC TechWeek IA #1: MCP e Desenvolvimento de agentes</t>
  </si>
  <si>
    <t>Encontros no Zoom - Instagram: System design do Instagram</t>
  </si>
  <si>
    <t>Encontros no Zoom - Instagram: Comunicação síncrona VS Comunicação assíncrona</t>
  </si>
  <si>
    <t>Encontros no Zoom - Instagram: DevOps e SRE + IA</t>
  </si>
  <si>
    <t>FC TechWeek IA #2: Ponto de partida de IA para desenvolvedores</t>
  </si>
  <si>
    <t>FC TechWeek IA #2: Aula 02</t>
  </si>
  <si>
    <t>FC TechWeek IA #2: Desenvolvimento de Agentes</t>
  </si>
  <si>
    <t>FC TechWeek IA #3: FC Tech Week IA for Devs - Aula 1</t>
  </si>
  <si>
    <t>FC TechWeek IA #3: O novo fluxo de dev com IA: Claude code + Cursor e RAG na prática - Aula 02</t>
  </si>
  <si>
    <t>FC TechWeek IA #3: Agentes Autônomos com ADK, RAG e Design Patterns – Aula 03</t>
  </si>
  <si>
    <t>FC TechWeek IA #4: IA para Devs: Seu Ponto de Partida</t>
  </si>
  <si>
    <t>FC TechWeek IA #4: O novo fluxo de dev com IA: Claude code + Cursor e RAG na prática</t>
  </si>
  <si>
    <t>FC TechWeek IA #4: Agentes Autônomos com ADK, RAG e Design Patterns</t>
  </si>
  <si>
    <t>Introdução: Como funciona este módulo</t>
  </si>
  <si>
    <t>Quick Wins com IA - Wesley Willians 29/07: Aula ao vivo - 29/07/2025</t>
  </si>
  <si>
    <t>Quick Wins com IA - Wesley Willians 29/07: Material</t>
  </si>
  <si>
    <t>Live com especialista - Luiz Carlos 07/08: Aula Ao Vivo - 07/08/2025</t>
  </si>
  <si>
    <t>Live com especialista - Luiz Carlos 07/08: Material</t>
  </si>
  <si>
    <t>Mentoria - Wesley Willians 12/08: Aula ao Vivo - 12/08/25</t>
  </si>
  <si>
    <t>Mentoria - Wesley Willians 12/08: Material</t>
  </si>
  <si>
    <t>Agentes de IA - Wesley Willians 21/08: Aula ao Vivo - 21/08/2025</t>
  </si>
  <si>
    <t>Agentes de IA - Wesley Willians 21/08: Github - Claude sub-agents</t>
  </si>
  <si>
    <t>Agentes de IA - Wesley Willians 21/08: Excalidraw</t>
  </si>
  <si>
    <t>Criação e Tipos de Prompt - Wesley Willians 02/09: Aula ao Vivo - 02/09/2025</t>
  </si>
  <si>
    <t>Criação e Tipos de Prompt - Wesley Willians 02/09: Material</t>
  </si>
  <si>
    <t>Exploração e Workflow para Modernização de Legados - 09/09: Aula ao Vivo - 09/09/2025</t>
  </si>
  <si>
    <t>Alta escala com AI no mundo real - 16/09: Aula ao Vivo - 16/09/2025</t>
  </si>
  <si>
    <t>Mentoria - Wesley Willians 30/09: Aula ao Vivo - 30/09/25</t>
  </si>
  <si>
    <t>Avaliar e medir a qualidade de prompts na prática - 07/10: Aula ao Vivo - 07/10/2025</t>
  </si>
  <si>
    <t>Gerenciamento e evaluation de prompts com Langfuse - 14/10: Aula ao Vivo - 14/10/2025</t>
  </si>
  <si>
    <t>Claude Code Skills:Workflow de desenvolvimento custo - 28/10: Aula ao Vivo - 28/10/2025</t>
  </si>
  <si>
    <t>Mentoria - Wesley Willians 04/11: Aula ao Vivo - 04/11/25</t>
  </si>
  <si>
    <t>Design Docs que você precisa saber para trabalhar 11/11: Aula ao Vivo - 11/11/2025</t>
  </si>
  <si>
    <t>Spec Driven Development 18/11: Aula ao Vivo - 18/11/2025</t>
  </si>
  <si>
    <t>Agentes de longa duração 03/12: Aula ao Vivo - 03/12/2025</t>
  </si>
  <si>
    <t>Tendências de IA para 2026 - 09/12: Aula ao Vivo - 09/12/2025</t>
  </si>
  <si>
    <t>Subagentes na prática com Claude Code - 15/01: Aula ao vivo - 15/01/2026</t>
  </si>
  <si>
    <t>Subagentes na prática com Claude Code - 15/01: Material</t>
  </si>
  <si>
    <t>Loop agent - 27/01: Aula ao vivo - 29/01/2026</t>
  </si>
  <si>
    <t>Agent Skills with Anthropic: Introduction</t>
  </si>
  <si>
    <t>Agent Skills with Anthropic: Course Materials</t>
  </si>
  <si>
    <t>Agent Skills with Anthropic: Why Use Skills - Part I</t>
  </si>
  <si>
    <t>Agent Skills with Anthropic: Why Use Skills - Part II</t>
  </si>
  <si>
    <t>Agent Skills with Anthropic: Skills vs Tools, MCP, and Subagents</t>
  </si>
  <si>
    <t>Agent Skills with Anthropic: Exploring Pre-Built Skills</t>
  </si>
  <si>
    <t>Agent Skills with Anthropic: Creating Custom Skills</t>
  </si>
  <si>
    <t>Agent Skills with Anthropic: Skills with the Claude API</t>
  </si>
  <si>
    <t>Agent Skills with Anthropic: Skills with Claude Code</t>
  </si>
  <si>
    <t>Agent Skills with Anthropic: Skills with the Claude Agent SDK</t>
  </si>
  <si>
    <t>Agent Skills with Anthropic: Conclusion</t>
  </si>
  <si>
    <t>Agent Skills with Anthropic: Quiz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</si>
</sst>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color theme="1"/>
      <name val="Nunito"/>
    </font>
    <font>
      <b/>
      <i/>
      <sz val="22.0"/>
      <color theme="1"/>
      <name val="Nunito"/>
    </font>
    <font/>
    <font>
      <i/>
      <sz val="12.0"/>
      <color theme="1"/>
      <name val="Nunito"/>
    </font>
    <font>
      <b/>
      <i/>
      <sz val="12.0"/>
      <color theme="1"/>
      <name val="Nunito"/>
    </font>
    <font>
      <sz val="14.0"/>
      <color theme="1"/>
      <name val="Nunito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93F9"/>
        <bgColor rgb="FFBD93F9"/>
      </patternFill>
    </fill>
  </fills>
  <borders count="3">
    <border/>
    <border>
      <bottom style="dotted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6" xfId="0" applyAlignment="1" applyFont="1" applyNumberFormat="1">
      <alignment horizontal="center"/>
    </xf>
    <xf borderId="0" fillId="0" fontId="1" numFmtId="46" xfId="0" applyFont="1" applyNumberFormat="1"/>
    <xf borderId="1" fillId="0" fontId="2" numFmtId="46" xfId="0" applyAlignment="1" applyBorder="1" applyFont="1" applyNumberFormat="1">
      <alignment horizontal="center" readingOrder="0" vertical="center"/>
    </xf>
    <xf borderId="1" fillId="0" fontId="3" numFmtId="0" xfId="0" applyBorder="1" applyFont="1"/>
    <xf borderId="0" fillId="0" fontId="4" numFmtId="46" xfId="0" applyAlignment="1" applyFont="1" applyNumberFormat="1">
      <alignment horizontal="center" readingOrder="0"/>
    </xf>
    <xf borderId="0" fillId="0" fontId="5" numFmtId="46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/>
    </xf>
    <xf borderId="1" fillId="0" fontId="1" numFmtId="46" xfId="0" applyAlignment="1" applyBorder="1" applyFont="1" applyNumberFormat="1">
      <alignment horizontal="center" readingOrder="0"/>
    </xf>
    <xf borderId="0" fillId="0" fontId="1" numFmtId="46" xfId="0" applyAlignment="1" applyFont="1" applyNumberFormat="1">
      <alignment horizontal="center" readingOrder="0"/>
    </xf>
    <xf borderId="0" fillId="0" fontId="6" numFmtId="46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2" fillId="2" fontId="7" numFmtId="0" xfId="0" applyAlignment="1" applyBorder="1" applyFill="1" applyFont="1">
      <alignment horizontal="center" vertical="center"/>
    </xf>
    <xf borderId="2" fillId="2" fontId="7" numFmtId="46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21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46" xfId="0" applyAlignment="1" applyFont="1" applyNumberFormat="1">
      <alignment horizontal="center"/>
    </xf>
    <xf borderId="0" fillId="0" fontId="9" numFmtId="21" xfId="0" applyAlignment="1" applyFont="1" applyNumberFormat="1">
      <alignment horizontal="center"/>
    </xf>
    <xf borderId="0" fillId="0" fontId="9" numFmtId="46" xfId="0" applyAlignment="1" applyFont="1" applyNumberFormat="1">
      <alignment horizontal="center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21" xfId="0" applyAlignment="1" applyFont="1" applyNumberFormat="1">
      <alignment horizontal="left" readingOrder="0"/>
    </xf>
    <xf borderId="0" fillId="0" fontId="8" numFmtId="4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4" width="15.13"/>
    <col customWidth="1" min="5" max="5" width="8.5"/>
    <col customWidth="1" min="6" max="6" width="26.88"/>
  </cols>
  <sheetData>
    <row r="1">
      <c r="A1" s="1"/>
      <c r="B1" s="2"/>
      <c r="C1" s="2"/>
      <c r="D1" s="2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2"/>
      <c r="C2" s="2"/>
      <c r="D2" s="2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36.75" customHeight="1">
      <c r="A3" s="1"/>
      <c r="B3" s="4" t="s">
        <v>0</v>
      </c>
      <c r="C3" s="5"/>
      <c r="D3" s="5"/>
      <c r="E3" s="1"/>
      <c r="F3" s="4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6"/>
      <c r="C4" s="6"/>
      <c r="D4" s="6"/>
      <c r="E4" s="1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7" t="s">
        <v>2</v>
      </c>
      <c r="C5" s="7" t="s">
        <v>3</v>
      </c>
      <c r="D5" s="7" t="s">
        <v>4</v>
      </c>
      <c r="E5" s="1"/>
      <c r="F5" s="7" t="s">
        <v>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8">
        <f t="shared" ref="B6:D6" si="1">B13*1/B10</f>
        <v>0.2144165968</v>
      </c>
      <c r="C6" s="8">
        <f t="shared" si="1"/>
        <v>0.375341498</v>
      </c>
      <c r="D6" s="8">
        <f t="shared" si="1"/>
        <v>0.01412891337</v>
      </c>
      <c r="E6" s="1"/>
      <c r="F6" s="8">
        <f>F13*1/F10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9"/>
      <c r="C7" s="9"/>
      <c r="D7" s="9"/>
      <c r="E7" s="1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0"/>
      <c r="C8" s="10"/>
      <c r="D8" s="10"/>
      <c r="E8" s="1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0" t="s">
        <v>5</v>
      </c>
      <c r="C9" s="10" t="s">
        <v>5</v>
      </c>
      <c r="D9" s="10" t="s">
        <v>5</v>
      </c>
      <c r="E9" s="1"/>
      <c r="F9" s="10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1">
        <f>SUM(
     '0. Introdução ao LangChain (Niv'!$G3+
     '1. Fundamentos de IA Generativa'!$G3+
     '2. Prompt Engineering'!G3+
     '3. Design Docs com IA'!$G3+
     '4. Desenvolvimento de Software '!$G3+
     Desafios!$G3+
     'Bônus - Lives Extras'!$G3+
     'Aulas Ao Vivo'!$G3
)</f>
        <v>5.590104167</v>
      </c>
      <c r="C10" s="11">
        <f>SUM(
     '0. Introdução ao LangChain (Niv'!$G3+
     '1. Fundamentos de IA Generativa'!$G3+
     '2. Prompt Engineering'!H3+
     '3. Design Docs com IA'!$G3+
     '4. Desenvolvimento de Software '!$G3+
     Desafios!$G3+
     'Aulas Ao Vivo'!$G3
)</f>
        <v>2.588506944</v>
      </c>
      <c r="D10" s="11">
        <f>SUM(
     'Bônus - Lives Extras'!$G3
)</f>
        <v>2.455891204</v>
      </c>
      <c r="E10" s="1"/>
      <c r="F10" s="11">
        <f>SUM(
     '⚡️ Claude Agent Skills'!$G3
)</f>
        <v>0.09305555556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2"/>
      <c r="C11" s="2"/>
      <c r="D11" s="2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0" t="s">
        <v>6</v>
      </c>
      <c r="C12" s="10" t="s">
        <v>6</v>
      </c>
      <c r="D12" s="10" t="s">
        <v>6</v>
      </c>
      <c r="E12" s="1"/>
      <c r="F12" s="10" t="s">
        <v>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1">
        <f>SUM(
     '0. Introdução ao LangChain (Niv'!$G6+
     '1. Fundamentos de IA Generativa'!$G6+
     '2. Prompt Engineering'!G6+
     '3. Design Docs com IA'!$G6+
     '4. Desenvolvimento de Software '!$G6+
     Desafios!$G6+
     'Bônus - Lives Extras'!$G6+
     'Aulas Ao Vivo'!$G6
)</f>
        <v>1.198611111</v>
      </c>
      <c r="C13" s="11">
        <f>SUM(
     '0. Introdução ao LangChain (Niv'!$G6+
     '1. Fundamentos de IA Generativa'!$G6+
     '2. Prompt Engineering'!H6+
     '3. Design Docs com IA'!$G6+
     '4. Desenvolvimento de Software '!$G6+
     Desafios!$G6+
     'Aulas Ao Vivo'!$G6
)</f>
        <v>0.9715740741</v>
      </c>
      <c r="D13" s="11">
        <f>SUM(
     'Bônus - Lives Extras'!$G6
)</f>
        <v>0.03469907407</v>
      </c>
      <c r="E13" s="1"/>
      <c r="F13" s="11">
        <f>SUM(
     '⚡️ Claude Agent Skills'!$G6
)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2"/>
      <c r="C14" s="2"/>
      <c r="D14" s="2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2" t="s">
        <v>7</v>
      </c>
      <c r="C15" s="2" t="s">
        <v>7</v>
      </c>
      <c r="D15" s="2" t="s">
        <v>7</v>
      </c>
      <c r="E15" s="1"/>
      <c r="F15" s="2" t="s">
        <v>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1">
        <f>SUM(
     '0. Introdução ao LangChain (Niv'!$G9+
     '1. Fundamentos de IA Generativa'!$G9+
     '2. Prompt Engineering'!G9+
     '3. Design Docs com IA'!$G9+
     '4. Desenvolvimento de Software '!$G9+
     Desafios!$G9+
     'Bônus - Lives Extras'!$G9+
     'Aulas Ao Vivo'!$G9
)</f>
        <v>4.391493056</v>
      </c>
      <c r="C16" s="11">
        <f>SUM(
     '0. Introdução ao LangChain (Niv'!$G9+
     '1. Fundamentos de IA Generativa'!$G9+
     '2. Prompt Engineering'!H9+
     '3. Design Docs com IA'!$G9+
     '4. Desenvolvimento de Software '!$G9+
     Desafios!$G9+
     'Aulas Ao Vivo'!$G9
)</f>
        <v>1.61693287</v>
      </c>
      <c r="D16" s="11">
        <f>SUM(
     'Bônus - Lives Extras'!$G9
)</f>
        <v>2.42119213</v>
      </c>
      <c r="E16" s="1"/>
      <c r="F16" s="11">
        <f>SUM(
     '⚡️ Claude Agent Skills'!$G9
)</f>
        <v>0.09305555556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2"/>
      <c r="C17" s="2"/>
      <c r="D17" s="2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2"/>
      <c r="C18" s="2"/>
      <c r="D18" s="2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C19" s="2"/>
      <c r="D19" s="2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2"/>
      <c r="C20" s="2"/>
      <c r="D20" s="2"/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2"/>
      <c r="C21" s="2"/>
      <c r="D21" s="2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2"/>
      <c r="C22" s="12"/>
      <c r="D22" s="2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2"/>
      <c r="C23" s="13"/>
      <c r="D23" s="2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2"/>
      <c r="C24" s="2"/>
      <c r="D24" s="2"/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2"/>
      <c r="C25" s="2"/>
      <c r="D25" s="2"/>
      <c r="E25" s="1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2"/>
      <c r="C26" s="2"/>
      <c r="D26" s="2"/>
      <c r="E26" s="1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2"/>
      <c r="C27" s="2"/>
      <c r="D27" s="2"/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2"/>
      <c r="C28" s="2"/>
      <c r="D28" s="2"/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2"/>
      <c r="C29" s="2"/>
      <c r="D29" s="2"/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2"/>
      <c r="C30" s="2"/>
      <c r="D30" s="2"/>
      <c r="E30" s="1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2"/>
      <c r="C31" s="2"/>
      <c r="D31" s="2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2"/>
      <c r="C32" s="2"/>
      <c r="D32" s="2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2"/>
      <c r="C33" s="2"/>
      <c r="D33" s="2"/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2"/>
      <c r="C34" s="2"/>
      <c r="D34" s="2"/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2"/>
      <c r="C35" s="2"/>
      <c r="D35" s="2"/>
      <c r="E35" s="1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2"/>
      <c r="C36" s="2"/>
      <c r="D36" s="2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2"/>
      <c r="C37" s="2"/>
      <c r="D37" s="2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2"/>
      <c r="C38" s="2"/>
      <c r="D38" s="2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2"/>
      <c r="C39" s="2"/>
      <c r="D39" s="2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2"/>
      <c r="C40" s="2"/>
      <c r="D40" s="2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2"/>
      <c r="C41" s="2"/>
      <c r="D41" s="2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2"/>
      <c r="C42" s="2"/>
      <c r="D42" s="2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2"/>
      <c r="C43" s="2"/>
      <c r="D43" s="2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2"/>
      <c r="C44" s="2"/>
      <c r="D44" s="2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2"/>
      <c r="C45" s="2"/>
      <c r="D45" s="2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2"/>
      <c r="C46" s="2"/>
      <c r="D46" s="2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2"/>
      <c r="C47" s="2"/>
      <c r="D47" s="2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2"/>
      <c r="C48" s="2"/>
      <c r="D48" s="2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2"/>
      <c r="C49" s="2"/>
      <c r="D49" s="2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2"/>
      <c r="C50" s="2"/>
      <c r="D50" s="2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2"/>
      <c r="C51" s="2"/>
      <c r="D51" s="2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2"/>
      <c r="C52" s="2"/>
      <c r="D52" s="2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2"/>
      <c r="C53" s="2"/>
      <c r="D53" s="2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2"/>
      <c r="C54" s="2"/>
      <c r="D54" s="2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2"/>
      <c r="C55" s="2"/>
      <c r="D55" s="2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2"/>
      <c r="C56" s="2"/>
      <c r="D56" s="2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2"/>
      <c r="C57" s="2"/>
      <c r="D57" s="2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2"/>
      <c r="C58" s="2"/>
      <c r="D58" s="2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2"/>
      <c r="C59" s="2"/>
      <c r="D59" s="2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2"/>
      <c r="C60" s="2"/>
      <c r="D60" s="2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2"/>
      <c r="C61" s="2"/>
      <c r="D61" s="2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2"/>
      <c r="C62" s="2"/>
      <c r="D62" s="2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2"/>
      <c r="C63" s="2"/>
      <c r="D63" s="2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2"/>
      <c r="C64" s="2"/>
      <c r="D64" s="2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2"/>
      <c r="C65" s="2"/>
      <c r="D65" s="2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2"/>
      <c r="C66" s="2"/>
      <c r="D66" s="2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2"/>
      <c r="C67" s="2"/>
      <c r="D67" s="2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2"/>
      <c r="C68" s="2"/>
      <c r="D68" s="2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2"/>
      <c r="C69" s="2"/>
      <c r="D69" s="2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2"/>
      <c r="C70" s="2"/>
      <c r="D70" s="2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2"/>
      <c r="C71" s="2"/>
      <c r="D71" s="2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2"/>
      <c r="C72" s="2"/>
      <c r="D72" s="2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2"/>
      <c r="C73" s="2"/>
      <c r="D73" s="2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2"/>
      <c r="C74" s="2"/>
      <c r="D74" s="2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2"/>
      <c r="C75" s="2"/>
      <c r="D75" s="2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2"/>
      <c r="C76" s="2"/>
      <c r="D76" s="2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2"/>
      <c r="C77" s="2"/>
      <c r="D77" s="2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2"/>
      <c r="C78" s="2"/>
      <c r="D78" s="2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2"/>
      <c r="C79" s="2"/>
      <c r="D79" s="2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2"/>
      <c r="C80" s="2"/>
      <c r="D80" s="2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2"/>
      <c r="C81" s="2"/>
      <c r="D81" s="2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2"/>
      <c r="C82" s="2"/>
      <c r="D82" s="2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2"/>
      <c r="C83" s="2"/>
      <c r="D83" s="2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2"/>
      <c r="C84" s="2"/>
      <c r="D84" s="2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2"/>
      <c r="C85" s="2"/>
      <c r="D85" s="2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2"/>
      <c r="C86" s="2"/>
      <c r="D86" s="2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2"/>
      <c r="C87" s="2"/>
      <c r="D87" s="2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2"/>
      <c r="C88" s="2"/>
      <c r="D88" s="2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2"/>
      <c r="C89" s="2"/>
      <c r="D89" s="2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2"/>
      <c r="C90" s="2"/>
      <c r="D90" s="2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2"/>
      <c r="C91" s="2"/>
      <c r="D91" s="2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2"/>
      <c r="C92" s="2"/>
      <c r="D92" s="2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2"/>
      <c r="C93" s="2"/>
      <c r="D93" s="2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2"/>
      <c r="C94" s="2"/>
      <c r="D94" s="2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2"/>
      <c r="C95" s="2"/>
      <c r="D95" s="2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2"/>
      <c r="C96" s="2"/>
      <c r="D96" s="2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2"/>
      <c r="C97" s="2"/>
      <c r="D97" s="2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2"/>
      <c r="C98" s="2"/>
      <c r="D98" s="2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2"/>
      <c r="C99" s="2"/>
      <c r="D99" s="2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2"/>
      <c r="C100" s="2"/>
      <c r="D100" s="2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2"/>
      <c r="C101" s="2"/>
      <c r="D101" s="2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2"/>
      <c r="C102" s="2"/>
      <c r="D102" s="2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2"/>
      <c r="C103" s="2"/>
      <c r="D103" s="2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2"/>
      <c r="C104" s="2"/>
      <c r="D104" s="2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2"/>
      <c r="C105" s="2"/>
      <c r="D105" s="2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2"/>
      <c r="C106" s="2"/>
      <c r="D106" s="2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2"/>
      <c r="C107" s="2"/>
      <c r="D107" s="2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2"/>
      <c r="C108" s="2"/>
      <c r="D108" s="2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2"/>
      <c r="C109" s="2"/>
      <c r="D109" s="2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2"/>
      <c r="C110" s="2"/>
      <c r="D110" s="2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2"/>
      <c r="C111" s="2"/>
      <c r="D111" s="2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2"/>
      <c r="C112" s="2"/>
      <c r="D112" s="2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2"/>
      <c r="C113" s="2"/>
      <c r="D113" s="2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2"/>
      <c r="C114" s="2"/>
      <c r="D114" s="2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2"/>
      <c r="C115" s="2"/>
      <c r="D115" s="2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2"/>
      <c r="C116" s="2"/>
      <c r="D116" s="2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2"/>
      <c r="C117" s="2"/>
      <c r="D117" s="2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2"/>
      <c r="C118" s="2"/>
      <c r="D118" s="2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2"/>
      <c r="C119" s="2"/>
      <c r="D119" s="2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2"/>
      <c r="C120" s="2"/>
      <c r="D120" s="2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2"/>
      <c r="C121" s="2"/>
      <c r="D121" s="2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2"/>
      <c r="C122" s="2"/>
      <c r="D122" s="2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2"/>
      <c r="C123" s="2"/>
      <c r="D123" s="2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2"/>
      <c r="C124" s="2"/>
      <c r="D124" s="2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2"/>
      <c r="C125" s="2"/>
      <c r="D125" s="2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2"/>
      <c r="C126" s="2"/>
      <c r="D126" s="2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2"/>
      <c r="C127" s="2"/>
      <c r="D127" s="2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2"/>
      <c r="C128" s="2"/>
      <c r="D128" s="2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2"/>
      <c r="C129" s="2"/>
      <c r="D129" s="2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2"/>
      <c r="C130" s="2"/>
      <c r="D130" s="2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2"/>
      <c r="C131" s="2"/>
      <c r="D131" s="2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2"/>
      <c r="C132" s="2"/>
      <c r="D132" s="2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2"/>
      <c r="C133" s="2"/>
      <c r="D133" s="2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2"/>
      <c r="C134" s="2"/>
      <c r="D134" s="2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2"/>
      <c r="C135" s="2"/>
      <c r="D135" s="2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2"/>
      <c r="C136" s="2"/>
      <c r="D136" s="2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2"/>
      <c r="C137" s="2"/>
      <c r="D137" s="2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2"/>
      <c r="C138" s="2"/>
      <c r="D138" s="2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2"/>
      <c r="C139" s="2"/>
      <c r="D139" s="2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2"/>
      <c r="C140" s="2"/>
      <c r="D140" s="2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2"/>
      <c r="C141" s="2"/>
      <c r="D141" s="2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2"/>
      <c r="C142" s="2"/>
      <c r="D142" s="2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2"/>
      <c r="C143" s="2"/>
      <c r="D143" s="2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2"/>
      <c r="C144" s="2"/>
      <c r="D144" s="2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2"/>
      <c r="C145" s="2"/>
      <c r="D145" s="2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2"/>
      <c r="C146" s="2"/>
      <c r="D146" s="2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2"/>
      <c r="C147" s="2"/>
      <c r="D147" s="2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2"/>
      <c r="C148" s="2"/>
      <c r="D148" s="2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2"/>
      <c r="C149" s="2"/>
      <c r="D149" s="2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2"/>
      <c r="C150" s="2"/>
      <c r="D150" s="2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2"/>
      <c r="C151" s="2"/>
      <c r="D151" s="2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2"/>
      <c r="C152" s="2"/>
      <c r="D152" s="2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2"/>
      <c r="C153" s="2"/>
      <c r="D153" s="2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2"/>
      <c r="C154" s="2"/>
      <c r="D154" s="2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2"/>
      <c r="C155" s="2"/>
      <c r="D155" s="2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2"/>
      <c r="C156" s="2"/>
      <c r="D156" s="2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2"/>
      <c r="C157" s="2"/>
      <c r="D157" s="2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2"/>
      <c r="C158" s="2"/>
      <c r="D158" s="2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2"/>
      <c r="C159" s="2"/>
      <c r="D159" s="2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2"/>
      <c r="C160" s="2"/>
      <c r="D160" s="2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2"/>
      <c r="C161" s="2"/>
      <c r="D161" s="2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2"/>
      <c r="C162" s="2"/>
      <c r="D162" s="2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2"/>
      <c r="C163" s="2"/>
      <c r="D163" s="2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2"/>
      <c r="C164" s="2"/>
      <c r="D164" s="2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2"/>
      <c r="C165" s="2"/>
      <c r="D165" s="2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2"/>
      <c r="C166" s="2"/>
      <c r="D166" s="2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2"/>
      <c r="C167" s="2"/>
      <c r="D167" s="2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2"/>
      <c r="C168" s="2"/>
      <c r="D168" s="2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2"/>
      <c r="C169" s="2"/>
      <c r="D169" s="2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2"/>
      <c r="C170" s="2"/>
      <c r="D170" s="2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2"/>
      <c r="C171" s="2"/>
      <c r="D171" s="2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2"/>
      <c r="C172" s="2"/>
      <c r="D172" s="2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2"/>
      <c r="C173" s="2"/>
      <c r="D173" s="2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2"/>
      <c r="C174" s="2"/>
      <c r="D174" s="2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2"/>
      <c r="C175" s="2"/>
      <c r="D175" s="2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2"/>
      <c r="C176" s="2"/>
      <c r="D176" s="2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2"/>
      <c r="C177" s="2"/>
      <c r="D177" s="2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2"/>
      <c r="C178" s="2"/>
      <c r="D178" s="2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2"/>
      <c r="C179" s="2"/>
      <c r="D179" s="2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2"/>
      <c r="C180" s="2"/>
      <c r="D180" s="2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2"/>
      <c r="C181" s="2"/>
      <c r="D181" s="2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2"/>
      <c r="C182" s="2"/>
      <c r="D182" s="2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2"/>
      <c r="C183" s="2"/>
      <c r="D183" s="2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2"/>
      <c r="C184" s="2"/>
      <c r="D184" s="2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2"/>
      <c r="C185" s="2"/>
      <c r="D185" s="2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2"/>
      <c r="C186" s="2"/>
      <c r="D186" s="2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2"/>
      <c r="C187" s="2"/>
      <c r="D187" s="2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2"/>
      <c r="C188" s="2"/>
      <c r="D188" s="2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2"/>
      <c r="C189" s="2"/>
      <c r="D189" s="2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2"/>
      <c r="C190" s="2"/>
      <c r="D190" s="2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2"/>
      <c r="C191" s="2"/>
      <c r="D191" s="2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2"/>
      <c r="C192" s="2"/>
      <c r="D192" s="2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2"/>
      <c r="C193" s="2"/>
      <c r="D193" s="2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2"/>
      <c r="C194" s="2"/>
      <c r="D194" s="2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2"/>
      <c r="C195" s="2"/>
      <c r="D195" s="2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2"/>
      <c r="C196" s="2"/>
      <c r="D196" s="2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2"/>
      <c r="C197" s="2"/>
      <c r="D197" s="2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2"/>
      <c r="C198" s="2"/>
      <c r="D198" s="2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2"/>
      <c r="C199" s="2"/>
      <c r="D199" s="2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2"/>
      <c r="C200" s="2"/>
      <c r="D200" s="2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2"/>
      <c r="C201" s="2"/>
      <c r="D201" s="2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2"/>
      <c r="C202" s="2"/>
      <c r="D202" s="2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2"/>
      <c r="C203" s="2"/>
      <c r="D203" s="2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2"/>
      <c r="C204" s="2"/>
      <c r="D204" s="2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2"/>
      <c r="C205" s="2"/>
      <c r="D205" s="2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2"/>
      <c r="C206" s="2"/>
      <c r="D206" s="2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2"/>
      <c r="C207" s="2"/>
      <c r="D207" s="2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2"/>
      <c r="C208" s="2"/>
      <c r="D208" s="2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2"/>
      <c r="C209" s="2"/>
      <c r="D209" s="2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2"/>
      <c r="C210" s="2"/>
      <c r="D210" s="2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2"/>
      <c r="C211" s="2"/>
      <c r="D211" s="2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2"/>
      <c r="C212" s="2"/>
      <c r="D212" s="2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2"/>
      <c r="C213" s="2"/>
      <c r="D213" s="2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2"/>
      <c r="C214" s="2"/>
      <c r="D214" s="2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2"/>
      <c r="C215" s="2"/>
      <c r="D215" s="2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2"/>
      <c r="C216" s="2"/>
      <c r="D216" s="2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2"/>
      <c r="C217" s="2"/>
      <c r="D217" s="2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2"/>
      <c r="C218" s="2"/>
      <c r="D218" s="2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2"/>
      <c r="C219" s="2"/>
      <c r="D219" s="2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2"/>
      <c r="C220" s="2"/>
      <c r="D220" s="2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2"/>
      <c r="C221" s="2"/>
      <c r="D221" s="2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2"/>
      <c r="C222" s="2"/>
      <c r="D222" s="2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2"/>
      <c r="C223" s="2"/>
      <c r="D223" s="2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2"/>
      <c r="C224" s="2"/>
      <c r="D224" s="2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2"/>
      <c r="C225" s="2"/>
      <c r="D225" s="2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2"/>
      <c r="C226" s="2"/>
      <c r="D226" s="2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2"/>
      <c r="C227" s="2"/>
      <c r="D227" s="2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2"/>
      <c r="C228" s="2"/>
      <c r="D228" s="2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2"/>
      <c r="C229" s="2"/>
      <c r="D229" s="2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2"/>
      <c r="C230" s="2"/>
      <c r="D230" s="2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2"/>
      <c r="C231" s="2"/>
      <c r="D231" s="2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2"/>
      <c r="C232" s="2"/>
      <c r="D232" s="2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2"/>
      <c r="C233" s="2"/>
      <c r="D233" s="2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2"/>
      <c r="C234" s="2"/>
      <c r="D234" s="2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2"/>
      <c r="C235" s="2"/>
      <c r="D235" s="2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2"/>
      <c r="C236" s="2"/>
      <c r="D236" s="2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2"/>
      <c r="C237" s="2"/>
      <c r="D237" s="2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2"/>
      <c r="C238" s="2"/>
      <c r="D238" s="2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2"/>
      <c r="C239" s="2"/>
      <c r="D239" s="2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2"/>
      <c r="C240" s="2"/>
      <c r="D240" s="2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2"/>
      <c r="C241" s="2"/>
      <c r="D241" s="2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2"/>
      <c r="C242" s="2"/>
      <c r="D242" s="2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2"/>
      <c r="C243" s="2"/>
      <c r="D243" s="2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2"/>
      <c r="C244" s="2"/>
      <c r="D244" s="2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2"/>
      <c r="C245" s="2"/>
      <c r="D245" s="2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2"/>
      <c r="C246" s="2"/>
      <c r="D246" s="2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2"/>
      <c r="C247" s="2"/>
      <c r="D247" s="2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2"/>
      <c r="C248" s="2"/>
      <c r="D248" s="2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2"/>
      <c r="C249" s="2"/>
      <c r="D249" s="2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2"/>
      <c r="C250" s="2"/>
      <c r="D250" s="2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2"/>
      <c r="C251" s="2"/>
      <c r="D251" s="2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2"/>
      <c r="C252" s="2"/>
      <c r="D252" s="2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2"/>
      <c r="C253" s="2"/>
      <c r="D253" s="2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2"/>
      <c r="C254" s="2"/>
      <c r="D254" s="2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2"/>
      <c r="C255" s="2"/>
      <c r="D255" s="2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2"/>
      <c r="C256" s="2"/>
      <c r="D256" s="2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2"/>
      <c r="C257" s="2"/>
      <c r="D257" s="2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2"/>
      <c r="C258" s="2"/>
      <c r="D258" s="2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2"/>
      <c r="C259" s="2"/>
      <c r="D259" s="2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2"/>
      <c r="C260" s="2"/>
      <c r="D260" s="2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2"/>
      <c r="C261" s="2"/>
      <c r="D261" s="2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2"/>
      <c r="C262" s="2"/>
      <c r="D262" s="2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2"/>
      <c r="C263" s="2"/>
      <c r="D263" s="2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2"/>
      <c r="C264" s="2"/>
      <c r="D264" s="2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2"/>
      <c r="C265" s="2"/>
      <c r="D265" s="2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2"/>
      <c r="C266" s="2"/>
      <c r="D266" s="2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2"/>
      <c r="C267" s="2"/>
      <c r="D267" s="2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2"/>
      <c r="C268" s="2"/>
      <c r="D268" s="2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2"/>
      <c r="C269" s="2"/>
      <c r="D269" s="2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2"/>
      <c r="C270" s="2"/>
      <c r="D270" s="2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2"/>
      <c r="C271" s="2"/>
      <c r="D271" s="2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2"/>
      <c r="C272" s="2"/>
      <c r="D272" s="2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2"/>
      <c r="C273" s="2"/>
      <c r="D273" s="2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2"/>
      <c r="C274" s="2"/>
      <c r="D274" s="2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2"/>
      <c r="C275" s="2"/>
      <c r="D275" s="2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2"/>
      <c r="C276" s="2"/>
      <c r="D276" s="2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2"/>
      <c r="C277" s="2"/>
      <c r="D277" s="2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2"/>
      <c r="C278" s="2"/>
      <c r="D278" s="2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2"/>
      <c r="C279" s="2"/>
      <c r="D279" s="2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2"/>
      <c r="C280" s="2"/>
      <c r="D280" s="2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2"/>
      <c r="C281" s="2"/>
      <c r="D281" s="2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2"/>
      <c r="C282" s="2"/>
      <c r="D282" s="2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2"/>
      <c r="C283" s="2"/>
      <c r="D283" s="2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2"/>
      <c r="C284" s="2"/>
      <c r="D284" s="2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2"/>
      <c r="C285" s="2"/>
      <c r="D285" s="2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2"/>
      <c r="C286" s="2"/>
      <c r="D286" s="2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2"/>
      <c r="C287" s="2"/>
      <c r="D287" s="2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2"/>
      <c r="C288" s="2"/>
      <c r="D288" s="2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2"/>
      <c r="C289" s="2"/>
      <c r="D289" s="2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2"/>
      <c r="C290" s="2"/>
      <c r="D290" s="2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2"/>
      <c r="C291" s="2"/>
      <c r="D291" s="2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2"/>
      <c r="C292" s="2"/>
      <c r="D292" s="2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2"/>
      <c r="C293" s="2"/>
      <c r="D293" s="2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2"/>
      <c r="C294" s="2"/>
      <c r="D294" s="2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2"/>
      <c r="C295" s="2"/>
      <c r="D295" s="2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2"/>
      <c r="C296" s="2"/>
      <c r="D296" s="2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2"/>
      <c r="C297" s="2"/>
      <c r="D297" s="2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2"/>
      <c r="C298" s="2"/>
      <c r="D298" s="2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2"/>
      <c r="C299" s="2"/>
      <c r="D299" s="2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2"/>
      <c r="C300" s="2"/>
      <c r="D300" s="2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2"/>
      <c r="C301" s="2"/>
      <c r="D301" s="2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2"/>
      <c r="C302" s="2"/>
      <c r="D302" s="2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2"/>
      <c r="C303" s="2"/>
      <c r="D303" s="2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2"/>
      <c r="C304" s="2"/>
      <c r="D304" s="2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2"/>
      <c r="C305" s="2"/>
      <c r="D305" s="2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2"/>
      <c r="C306" s="2"/>
      <c r="D306" s="2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2"/>
      <c r="C307" s="2"/>
      <c r="D307" s="2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2"/>
      <c r="C308" s="2"/>
      <c r="D308" s="2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2"/>
      <c r="C309" s="2"/>
      <c r="D309" s="2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2"/>
      <c r="C310" s="2"/>
      <c r="D310" s="2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2"/>
      <c r="C311" s="2"/>
      <c r="D311" s="2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2"/>
      <c r="C312" s="2"/>
      <c r="D312" s="2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2"/>
      <c r="C313" s="2"/>
      <c r="D313" s="2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2"/>
      <c r="C314" s="2"/>
      <c r="D314" s="2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2"/>
      <c r="C315" s="2"/>
      <c r="D315" s="2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2"/>
      <c r="C316" s="2"/>
      <c r="D316" s="2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2"/>
      <c r="C317" s="2"/>
      <c r="D317" s="2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2"/>
      <c r="C318" s="2"/>
      <c r="D318" s="2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2"/>
      <c r="C319" s="2"/>
      <c r="D319" s="2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2"/>
      <c r="C320" s="2"/>
      <c r="D320" s="2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2"/>
      <c r="C321" s="2"/>
      <c r="D321" s="2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2"/>
      <c r="C322" s="2"/>
      <c r="D322" s="2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2"/>
      <c r="C323" s="2"/>
      <c r="D323" s="2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2"/>
      <c r="C324" s="2"/>
      <c r="D324" s="2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2"/>
      <c r="C325" s="2"/>
      <c r="D325" s="2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2"/>
      <c r="C326" s="2"/>
      <c r="D326" s="2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2"/>
      <c r="C327" s="2"/>
      <c r="D327" s="2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2"/>
      <c r="C328" s="2"/>
      <c r="D328" s="2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2"/>
      <c r="C329" s="2"/>
      <c r="D329" s="2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2"/>
      <c r="C330" s="2"/>
      <c r="D330" s="2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2"/>
      <c r="C331" s="2"/>
      <c r="D331" s="2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2"/>
      <c r="C332" s="2"/>
      <c r="D332" s="2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2"/>
      <c r="C333" s="2"/>
      <c r="D333" s="2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2"/>
      <c r="C334" s="2"/>
      <c r="D334" s="2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2"/>
      <c r="C335" s="2"/>
      <c r="D335" s="2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2"/>
      <c r="C336" s="2"/>
      <c r="D336" s="2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2"/>
      <c r="C337" s="2"/>
      <c r="D337" s="2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2"/>
      <c r="C338" s="2"/>
      <c r="D338" s="2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2"/>
      <c r="C339" s="2"/>
      <c r="D339" s="2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2"/>
      <c r="C340" s="2"/>
      <c r="D340" s="2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2"/>
      <c r="C341" s="2"/>
      <c r="D341" s="2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2"/>
      <c r="C342" s="2"/>
      <c r="D342" s="2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2"/>
      <c r="C343" s="2"/>
      <c r="D343" s="2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2"/>
      <c r="C344" s="2"/>
      <c r="D344" s="2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2"/>
      <c r="C345" s="2"/>
      <c r="D345" s="2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2"/>
      <c r="C346" s="2"/>
      <c r="D346" s="2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2"/>
      <c r="C347" s="2"/>
      <c r="D347" s="2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2"/>
      <c r="C348" s="2"/>
      <c r="D348" s="2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2"/>
      <c r="C349" s="2"/>
      <c r="D349" s="2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2"/>
      <c r="C350" s="2"/>
      <c r="D350" s="2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2"/>
      <c r="C351" s="2"/>
      <c r="D351" s="2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2"/>
      <c r="C352" s="2"/>
      <c r="D352" s="2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2"/>
      <c r="C353" s="2"/>
      <c r="D353" s="2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2"/>
      <c r="C354" s="2"/>
      <c r="D354" s="2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2"/>
      <c r="C355" s="2"/>
      <c r="D355" s="2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2"/>
      <c r="C356" s="2"/>
      <c r="D356" s="2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2"/>
      <c r="C357" s="2"/>
      <c r="D357" s="2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2"/>
      <c r="C358" s="2"/>
      <c r="D358" s="2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2"/>
      <c r="C359" s="2"/>
      <c r="D359" s="2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2"/>
      <c r="C360" s="2"/>
      <c r="D360" s="2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2"/>
      <c r="C361" s="2"/>
      <c r="D361" s="2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2"/>
      <c r="C362" s="2"/>
      <c r="D362" s="2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2"/>
      <c r="C363" s="2"/>
      <c r="D363" s="2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2"/>
      <c r="C364" s="2"/>
      <c r="D364" s="2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2"/>
      <c r="C365" s="2"/>
      <c r="D365" s="2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2"/>
      <c r="C366" s="2"/>
      <c r="D366" s="2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2"/>
      <c r="C367" s="2"/>
      <c r="D367" s="2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2"/>
      <c r="C368" s="2"/>
      <c r="D368" s="2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2"/>
      <c r="C369" s="2"/>
      <c r="D369" s="2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2"/>
      <c r="C370" s="2"/>
      <c r="D370" s="2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2"/>
      <c r="C371" s="2"/>
      <c r="D371" s="2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2"/>
      <c r="C372" s="2"/>
      <c r="D372" s="2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2"/>
      <c r="C373" s="2"/>
      <c r="D373" s="2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2"/>
      <c r="C374" s="2"/>
      <c r="D374" s="2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2"/>
      <c r="C375" s="2"/>
      <c r="D375" s="2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2"/>
      <c r="C376" s="2"/>
      <c r="D376" s="2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2"/>
      <c r="C377" s="2"/>
      <c r="D377" s="2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2"/>
      <c r="C378" s="2"/>
      <c r="D378" s="2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2"/>
      <c r="C379" s="2"/>
      <c r="D379" s="2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2"/>
      <c r="C380" s="2"/>
      <c r="D380" s="2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2"/>
      <c r="C381" s="2"/>
      <c r="D381" s="2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2"/>
      <c r="C382" s="2"/>
      <c r="D382" s="2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2"/>
      <c r="C383" s="2"/>
      <c r="D383" s="2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2"/>
      <c r="C384" s="2"/>
      <c r="D384" s="2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2"/>
      <c r="C385" s="2"/>
      <c r="D385" s="2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2"/>
      <c r="C386" s="2"/>
      <c r="D386" s="2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2"/>
      <c r="C387" s="2"/>
      <c r="D387" s="2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2"/>
      <c r="C388" s="2"/>
      <c r="D388" s="2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2"/>
      <c r="C389" s="2"/>
      <c r="D389" s="2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2"/>
      <c r="C390" s="2"/>
      <c r="D390" s="2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2"/>
      <c r="C391" s="2"/>
      <c r="D391" s="2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2"/>
      <c r="C392" s="2"/>
      <c r="D392" s="2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2"/>
      <c r="C393" s="2"/>
      <c r="D393" s="2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2"/>
      <c r="C394" s="2"/>
      <c r="D394" s="2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2"/>
      <c r="C395" s="2"/>
      <c r="D395" s="2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2"/>
      <c r="C396" s="2"/>
      <c r="D396" s="2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2"/>
      <c r="C397" s="2"/>
      <c r="D397" s="2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2"/>
      <c r="C398" s="2"/>
      <c r="D398" s="2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2"/>
      <c r="C399" s="2"/>
      <c r="D399" s="2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2"/>
      <c r="C400" s="2"/>
      <c r="D400" s="2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2"/>
      <c r="C401" s="2"/>
      <c r="D401" s="2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2"/>
      <c r="C402" s="2"/>
      <c r="D402" s="2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2"/>
      <c r="C403" s="2"/>
      <c r="D403" s="2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2"/>
      <c r="C404" s="2"/>
      <c r="D404" s="2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2"/>
      <c r="C405" s="2"/>
      <c r="D405" s="2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2"/>
      <c r="C406" s="2"/>
      <c r="D406" s="2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2"/>
      <c r="C407" s="2"/>
      <c r="D407" s="2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2"/>
      <c r="C408" s="2"/>
      <c r="D408" s="2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2"/>
      <c r="C409" s="2"/>
      <c r="D409" s="2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2"/>
      <c r="C410" s="2"/>
      <c r="D410" s="2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2"/>
      <c r="C411" s="2"/>
      <c r="D411" s="2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2"/>
      <c r="C412" s="2"/>
      <c r="D412" s="2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2"/>
      <c r="C413" s="2"/>
      <c r="D413" s="2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2"/>
      <c r="C414" s="2"/>
      <c r="D414" s="2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2"/>
      <c r="C415" s="2"/>
      <c r="D415" s="2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2"/>
      <c r="C416" s="2"/>
      <c r="D416" s="2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2"/>
      <c r="C417" s="2"/>
      <c r="D417" s="2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2"/>
      <c r="C418" s="2"/>
      <c r="D418" s="2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2"/>
      <c r="C419" s="2"/>
      <c r="D419" s="2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2"/>
      <c r="C420" s="2"/>
      <c r="D420" s="2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2"/>
      <c r="C421" s="2"/>
      <c r="D421" s="2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2"/>
      <c r="C422" s="2"/>
      <c r="D422" s="2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2"/>
      <c r="C423" s="2"/>
      <c r="D423" s="2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2"/>
      <c r="C424" s="2"/>
      <c r="D424" s="2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2"/>
      <c r="C425" s="2"/>
      <c r="D425" s="2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2"/>
      <c r="C426" s="2"/>
      <c r="D426" s="2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2"/>
      <c r="C427" s="2"/>
      <c r="D427" s="2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2"/>
      <c r="C428" s="2"/>
      <c r="D428" s="2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2"/>
      <c r="C429" s="2"/>
      <c r="D429" s="2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2"/>
      <c r="C430" s="2"/>
      <c r="D430" s="2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2"/>
      <c r="C431" s="2"/>
      <c r="D431" s="2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2"/>
      <c r="C432" s="2"/>
      <c r="D432" s="2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2"/>
      <c r="C433" s="2"/>
      <c r="D433" s="2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2"/>
      <c r="C434" s="2"/>
      <c r="D434" s="2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2"/>
      <c r="C435" s="2"/>
      <c r="D435" s="2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2"/>
      <c r="C436" s="2"/>
      <c r="D436" s="2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2"/>
      <c r="C437" s="2"/>
      <c r="D437" s="2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2"/>
      <c r="C438" s="2"/>
      <c r="D438" s="2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2"/>
      <c r="C439" s="2"/>
      <c r="D439" s="2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2"/>
      <c r="C440" s="2"/>
      <c r="D440" s="2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2"/>
      <c r="C441" s="2"/>
      <c r="D441" s="2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2"/>
      <c r="C442" s="2"/>
      <c r="D442" s="2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2"/>
      <c r="C443" s="2"/>
      <c r="D443" s="2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2"/>
      <c r="C444" s="2"/>
      <c r="D444" s="2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2"/>
      <c r="C445" s="2"/>
      <c r="D445" s="2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2"/>
      <c r="C446" s="2"/>
      <c r="D446" s="2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2"/>
      <c r="C447" s="2"/>
      <c r="D447" s="2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2"/>
      <c r="C448" s="2"/>
      <c r="D448" s="2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2"/>
      <c r="C449" s="2"/>
      <c r="D449" s="2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2"/>
      <c r="C450" s="2"/>
      <c r="D450" s="2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2"/>
      <c r="C451" s="2"/>
      <c r="D451" s="2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2"/>
      <c r="C452" s="2"/>
      <c r="D452" s="2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2"/>
      <c r="C453" s="2"/>
      <c r="D453" s="2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2"/>
      <c r="C454" s="2"/>
      <c r="D454" s="2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2"/>
      <c r="C455" s="2"/>
      <c r="D455" s="2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2"/>
      <c r="C456" s="2"/>
      <c r="D456" s="2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2"/>
      <c r="C457" s="2"/>
      <c r="D457" s="2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2"/>
      <c r="C458" s="2"/>
      <c r="D458" s="2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2"/>
      <c r="C459" s="2"/>
      <c r="D459" s="2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2"/>
      <c r="C460" s="2"/>
      <c r="D460" s="2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2"/>
      <c r="C461" s="2"/>
      <c r="D461" s="2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2"/>
      <c r="C462" s="2"/>
      <c r="D462" s="2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2"/>
      <c r="C463" s="2"/>
      <c r="D463" s="2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2"/>
      <c r="C464" s="2"/>
      <c r="D464" s="2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2"/>
      <c r="C465" s="2"/>
      <c r="D465" s="2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2"/>
      <c r="C466" s="2"/>
      <c r="D466" s="2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2"/>
      <c r="C467" s="2"/>
      <c r="D467" s="2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2"/>
      <c r="C468" s="2"/>
      <c r="D468" s="2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2"/>
      <c r="C469" s="2"/>
      <c r="D469" s="2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2"/>
      <c r="C470" s="2"/>
      <c r="D470" s="2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2"/>
      <c r="C471" s="2"/>
      <c r="D471" s="2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2"/>
      <c r="C472" s="2"/>
      <c r="D472" s="2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2"/>
      <c r="C473" s="2"/>
      <c r="D473" s="2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2"/>
      <c r="C474" s="2"/>
      <c r="D474" s="2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2"/>
      <c r="C475" s="2"/>
      <c r="D475" s="2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2"/>
      <c r="C476" s="2"/>
      <c r="D476" s="2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2"/>
      <c r="C477" s="2"/>
      <c r="D477" s="2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2"/>
      <c r="C478" s="2"/>
      <c r="D478" s="2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2"/>
      <c r="C479" s="2"/>
      <c r="D479" s="2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2"/>
      <c r="C480" s="2"/>
      <c r="D480" s="2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2"/>
      <c r="C481" s="2"/>
      <c r="D481" s="2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2"/>
      <c r="C482" s="2"/>
      <c r="D482" s="2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2"/>
      <c r="C483" s="2"/>
      <c r="D483" s="2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2"/>
      <c r="C484" s="2"/>
      <c r="D484" s="2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2"/>
      <c r="C485" s="2"/>
      <c r="D485" s="2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2"/>
      <c r="C486" s="2"/>
      <c r="D486" s="2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2"/>
      <c r="C487" s="2"/>
      <c r="D487" s="2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2"/>
      <c r="C488" s="2"/>
      <c r="D488" s="2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2"/>
      <c r="C489" s="2"/>
      <c r="D489" s="2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2"/>
      <c r="C490" s="2"/>
      <c r="D490" s="2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2"/>
      <c r="C491" s="2"/>
      <c r="D491" s="2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2"/>
      <c r="C492" s="2"/>
      <c r="D492" s="2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2"/>
      <c r="C493" s="2"/>
      <c r="D493" s="2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2"/>
      <c r="C494" s="2"/>
      <c r="D494" s="2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2"/>
      <c r="C495" s="2"/>
      <c r="D495" s="2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2"/>
      <c r="C496" s="2"/>
      <c r="D496" s="2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2"/>
      <c r="C497" s="2"/>
      <c r="D497" s="2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2"/>
      <c r="C498" s="2"/>
      <c r="D498" s="2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2"/>
      <c r="C499" s="2"/>
      <c r="D499" s="2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2"/>
      <c r="C500" s="2"/>
      <c r="D500" s="2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2"/>
      <c r="C501" s="2"/>
      <c r="D501" s="2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2"/>
      <c r="C502" s="2"/>
      <c r="D502" s="2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2"/>
      <c r="C503" s="2"/>
      <c r="D503" s="2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2"/>
      <c r="C504" s="2"/>
      <c r="D504" s="2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2"/>
      <c r="C505" s="2"/>
      <c r="D505" s="2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2"/>
      <c r="C506" s="2"/>
      <c r="D506" s="2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2"/>
      <c r="C507" s="2"/>
      <c r="D507" s="2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2"/>
      <c r="C508" s="2"/>
      <c r="D508" s="2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2"/>
      <c r="C509" s="2"/>
      <c r="D509" s="2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2"/>
      <c r="C510" s="2"/>
      <c r="D510" s="2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2"/>
      <c r="C511" s="2"/>
      <c r="D511" s="2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2"/>
      <c r="C512" s="2"/>
      <c r="D512" s="2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2"/>
      <c r="C513" s="2"/>
      <c r="D513" s="2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2"/>
      <c r="C514" s="2"/>
      <c r="D514" s="2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2"/>
      <c r="C515" s="2"/>
      <c r="D515" s="2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2"/>
      <c r="C516" s="2"/>
      <c r="D516" s="2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2"/>
      <c r="C517" s="2"/>
      <c r="D517" s="2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2"/>
      <c r="C518" s="2"/>
      <c r="D518" s="2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2"/>
      <c r="C519" s="2"/>
      <c r="D519" s="2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2"/>
      <c r="C520" s="2"/>
      <c r="D520" s="2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2"/>
      <c r="C521" s="2"/>
      <c r="D521" s="2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2"/>
      <c r="C522" s="2"/>
      <c r="D522" s="2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2"/>
      <c r="C523" s="2"/>
      <c r="D523" s="2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2"/>
      <c r="C524" s="2"/>
      <c r="D524" s="2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2"/>
      <c r="C525" s="2"/>
      <c r="D525" s="2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2"/>
      <c r="C526" s="2"/>
      <c r="D526" s="2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2"/>
      <c r="C527" s="2"/>
      <c r="D527" s="2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2"/>
      <c r="C528" s="2"/>
      <c r="D528" s="2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2"/>
      <c r="C529" s="2"/>
      <c r="D529" s="2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2"/>
      <c r="C530" s="2"/>
      <c r="D530" s="2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2"/>
      <c r="C531" s="2"/>
      <c r="D531" s="2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2"/>
      <c r="C532" s="2"/>
      <c r="D532" s="2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2"/>
      <c r="C533" s="2"/>
      <c r="D533" s="2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2"/>
      <c r="C534" s="2"/>
      <c r="D534" s="2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2"/>
      <c r="C535" s="2"/>
      <c r="D535" s="2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2"/>
      <c r="C536" s="2"/>
      <c r="D536" s="2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2"/>
      <c r="C537" s="2"/>
      <c r="D537" s="2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2"/>
      <c r="C538" s="2"/>
      <c r="D538" s="2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2"/>
      <c r="C539" s="2"/>
      <c r="D539" s="2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2"/>
      <c r="C540" s="2"/>
      <c r="D540" s="2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2"/>
      <c r="C541" s="2"/>
      <c r="D541" s="2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2"/>
      <c r="C542" s="2"/>
      <c r="D542" s="2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2"/>
      <c r="C543" s="2"/>
      <c r="D543" s="2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2"/>
      <c r="C544" s="2"/>
      <c r="D544" s="2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2"/>
      <c r="C545" s="2"/>
      <c r="D545" s="2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2"/>
      <c r="C546" s="2"/>
      <c r="D546" s="2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2"/>
      <c r="C547" s="2"/>
      <c r="D547" s="2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2"/>
      <c r="C548" s="2"/>
      <c r="D548" s="2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2"/>
      <c r="C549" s="2"/>
      <c r="D549" s="2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2"/>
      <c r="C550" s="2"/>
      <c r="D550" s="2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2"/>
      <c r="C551" s="2"/>
      <c r="D551" s="2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2"/>
      <c r="C552" s="2"/>
      <c r="D552" s="2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2"/>
      <c r="C553" s="2"/>
      <c r="D553" s="2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2"/>
      <c r="C554" s="2"/>
      <c r="D554" s="2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2"/>
      <c r="C555" s="2"/>
      <c r="D555" s="2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2"/>
      <c r="C556" s="2"/>
      <c r="D556" s="2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2"/>
      <c r="C557" s="2"/>
      <c r="D557" s="2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2"/>
      <c r="C558" s="2"/>
      <c r="D558" s="2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2"/>
      <c r="C559" s="2"/>
      <c r="D559" s="2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2"/>
      <c r="C560" s="2"/>
      <c r="D560" s="2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2"/>
      <c r="C561" s="2"/>
      <c r="D561" s="2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2"/>
      <c r="C562" s="2"/>
      <c r="D562" s="2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2"/>
      <c r="C563" s="2"/>
      <c r="D563" s="2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2"/>
      <c r="C564" s="2"/>
      <c r="D564" s="2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2"/>
      <c r="C565" s="2"/>
      <c r="D565" s="2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2"/>
      <c r="C566" s="2"/>
      <c r="D566" s="2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2"/>
      <c r="C567" s="2"/>
      <c r="D567" s="2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2"/>
      <c r="C568" s="2"/>
      <c r="D568" s="2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2"/>
      <c r="C569" s="2"/>
      <c r="D569" s="2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2"/>
      <c r="C570" s="2"/>
      <c r="D570" s="2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2"/>
      <c r="C571" s="2"/>
      <c r="D571" s="2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2"/>
      <c r="C572" s="2"/>
      <c r="D572" s="2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2"/>
      <c r="C573" s="2"/>
      <c r="D573" s="2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2"/>
      <c r="C574" s="2"/>
      <c r="D574" s="2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2"/>
      <c r="C575" s="2"/>
      <c r="D575" s="2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2"/>
      <c r="C576" s="2"/>
      <c r="D576" s="2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2"/>
      <c r="C577" s="2"/>
      <c r="D577" s="2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2"/>
      <c r="C578" s="2"/>
      <c r="D578" s="2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2"/>
      <c r="C579" s="2"/>
      <c r="D579" s="2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2"/>
      <c r="C580" s="2"/>
      <c r="D580" s="2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2"/>
      <c r="C581" s="2"/>
      <c r="D581" s="2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2"/>
      <c r="C582" s="2"/>
      <c r="D582" s="2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2"/>
      <c r="C583" s="2"/>
      <c r="D583" s="2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2"/>
      <c r="C584" s="2"/>
      <c r="D584" s="2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2"/>
      <c r="C585" s="2"/>
      <c r="D585" s="2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2"/>
      <c r="C586" s="2"/>
      <c r="D586" s="2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2"/>
      <c r="C587" s="2"/>
      <c r="D587" s="2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2"/>
      <c r="C588" s="2"/>
      <c r="D588" s="2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2"/>
      <c r="C589" s="2"/>
      <c r="D589" s="2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2"/>
      <c r="C590" s="2"/>
      <c r="D590" s="2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2"/>
      <c r="C591" s="2"/>
      <c r="D591" s="2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2"/>
      <c r="C592" s="2"/>
      <c r="D592" s="2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2"/>
      <c r="C593" s="2"/>
      <c r="D593" s="2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2"/>
      <c r="C594" s="2"/>
      <c r="D594" s="2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2"/>
      <c r="C595" s="2"/>
      <c r="D595" s="2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2"/>
      <c r="C596" s="2"/>
      <c r="D596" s="2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2"/>
      <c r="C597" s="2"/>
      <c r="D597" s="2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2"/>
      <c r="C598" s="2"/>
      <c r="D598" s="2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2"/>
      <c r="C599" s="2"/>
      <c r="D599" s="2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2"/>
      <c r="C600" s="2"/>
      <c r="D600" s="2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2"/>
      <c r="C601" s="2"/>
      <c r="D601" s="2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2"/>
      <c r="C602" s="2"/>
      <c r="D602" s="2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2"/>
      <c r="C603" s="2"/>
      <c r="D603" s="2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2"/>
      <c r="C604" s="2"/>
      <c r="D604" s="2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2"/>
      <c r="C605" s="2"/>
      <c r="D605" s="2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2"/>
      <c r="C606" s="2"/>
      <c r="D606" s="2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2"/>
      <c r="C607" s="2"/>
      <c r="D607" s="2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2"/>
      <c r="C608" s="2"/>
      <c r="D608" s="2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2"/>
      <c r="C609" s="2"/>
      <c r="D609" s="2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2"/>
      <c r="C610" s="2"/>
      <c r="D610" s="2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2"/>
      <c r="C611" s="2"/>
      <c r="D611" s="2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2"/>
      <c r="C612" s="2"/>
      <c r="D612" s="2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2"/>
      <c r="C613" s="2"/>
      <c r="D613" s="2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2"/>
      <c r="C614" s="2"/>
      <c r="D614" s="2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2"/>
      <c r="C615" s="2"/>
      <c r="D615" s="2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2"/>
      <c r="C616" s="2"/>
      <c r="D616" s="2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2"/>
      <c r="C617" s="2"/>
      <c r="D617" s="2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2"/>
      <c r="C618" s="2"/>
      <c r="D618" s="2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2"/>
      <c r="C619" s="2"/>
      <c r="D619" s="2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2"/>
      <c r="C620" s="2"/>
      <c r="D620" s="2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2"/>
      <c r="C621" s="2"/>
      <c r="D621" s="2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2"/>
      <c r="C622" s="2"/>
      <c r="D622" s="2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2"/>
      <c r="C623" s="2"/>
      <c r="D623" s="2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2"/>
      <c r="C624" s="2"/>
      <c r="D624" s="2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2"/>
      <c r="C625" s="2"/>
      <c r="D625" s="2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2"/>
      <c r="C626" s="2"/>
      <c r="D626" s="2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2"/>
      <c r="C627" s="2"/>
      <c r="D627" s="2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2"/>
      <c r="C628" s="2"/>
      <c r="D628" s="2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2"/>
      <c r="C629" s="2"/>
      <c r="D629" s="2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2"/>
      <c r="C630" s="2"/>
      <c r="D630" s="2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2"/>
      <c r="C631" s="2"/>
      <c r="D631" s="2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2"/>
      <c r="C632" s="2"/>
      <c r="D632" s="2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2"/>
      <c r="C633" s="2"/>
      <c r="D633" s="2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2"/>
      <c r="C634" s="2"/>
      <c r="D634" s="2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2"/>
      <c r="C635" s="2"/>
      <c r="D635" s="2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2"/>
      <c r="C636" s="2"/>
      <c r="D636" s="2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2"/>
      <c r="C637" s="2"/>
      <c r="D637" s="2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2"/>
      <c r="C638" s="2"/>
      <c r="D638" s="2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2"/>
      <c r="C639" s="2"/>
      <c r="D639" s="2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2"/>
      <c r="C640" s="2"/>
      <c r="D640" s="2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2"/>
      <c r="C641" s="2"/>
      <c r="D641" s="2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2"/>
      <c r="C642" s="2"/>
      <c r="D642" s="2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2"/>
      <c r="C643" s="2"/>
      <c r="D643" s="2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2"/>
      <c r="C644" s="2"/>
      <c r="D644" s="2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2"/>
      <c r="C645" s="2"/>
      <c r="D645" s="2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2"/>
      <c r="C646" s="2"/>
      <c r="D646" s="2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2"/>
      <c r="C647" s="2"/>
      <c r="D647" s="2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2"/>
      <c r="C648" s="2"/>
      <c r="D648" s="2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2"/>
      <c r="C649" s="2"/>
      <c r="D649" s="2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2"/>
      <c r="C650" s="2"/>
      <c r="D650" s="2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2"/>
      <c r="C651" s="2"/>
      <c r="D651" s="2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2"/>
      <c r="C652" s="2"/>
      <c r="D652" s="2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2"/>
      <c r="C653" s="2"/>
      <c r="D653" s="2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2"/>
      <c r="C654" s="2"/>
      <c r="D654" s="2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2"/>
      <c r="C655" s="2"/>
      <c r="D655" s="2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2"/>
      <c r="C656" s="2"/>
      <c r="D656" s="2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2"/>
      <c r="C657" s="2"/>
      <c r="D657" s="2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2"/>
      <c r="C658" s="2"/>
      <c r="D658" s="2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2"/>
      <c r="C659" s="2"/>
      <c r="D659" s="2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2"/>
      <c r="C660" s="2"/>
      <c r="D660" s="2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2"/>
      <c r="C661" s="2"/>
      <c r="D661" s="2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2"/>
      <c r="C662" s="2"/>
      <c r="D662" s="2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2"/>
      <c r="C663" s="2"/>
      <c r="D663" s="2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2"/>
      <c r="C664" s="2"/>
      <c r="D664" s="2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2"/>
      <c r="C665" s="2"/>
      <c r="D665" s="2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2"/>
      <c r="C666" s="2"/>
      <c r="D666" s="2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2"/>
      <c r="C667" s="2"/>
      <c r="D667" s="2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2"/>
      <c r="C668" s="2"/>
      <c r="D668" s="2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2"/>
      <c r="C669" s="2"/>
      <c r="D669" s="2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2"/>
      <c r="C670" s="2"/>
      <c r="D670" s="2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2"/>
      <c r="C671" s="2"/>
      <c r="D671" s="2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2"/>
      <c r="C672" s="2"/>
      <c r="D672" s="2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2"/>
      <c r="C673" s="2"/>
      <c r="D673" s="2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2"/>
      <c r="C674" s="2"/>
      <c r="D674" s="2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2"/>
      <c r="C675" s="2"/>
      <c r="D675" s="2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2"/>
      <c r="C676" s="2"/>
      <c r="D676" s="2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2"/>
      <c r="C677" s="2"/>
      <c r="D677" s="2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2"/>
      <c r="C678" s="2"/>
      <c r="D678" s="2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2"/>
      <c r="C679" s="2"/>
      <c r="D679" s="2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2"/>
      <c r="C680" s="2"/>
      <c r="D680" s="2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2"/>
      <c r="C681" s="2"/>
      <c r="D681" s="2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2"/>
      <c r="C682" s="2"/>
      <c r="D682" s="2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2"/>
      <c r="C683" s="2"/>
      <c r="D683" s="2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2"/>
      <c r="C684" s="2"/>
      <c r="D684" s="2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2"/>
      <c r="C685" s="2"/>
      <c r="D685" s="2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2"/>
      <c r="C686" s="2"/>
      <c r="D686" s="2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2"/>
      <c r="C687" s="2"/>
      <c r="D687" s="2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2"/>
      <c r="C688" s="2"/>
      <c r="D688" s="2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2"/>
      <c r="C689" s="2"/>
      <c r="D689" s="2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2"/>
      <c r="C690" s="2"/>
      <c r="D690" s="2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2"/>
      <c r="C691" s="2"/>
      <c r="D691" s="2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2"/>
      <c r="C692" s="2"/>
      <c r="D692" s="2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2"/>
      <c r="C693" s="2"/>
      <c r="D693" s="2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2"/>
      <c r="C694" s="2"/>
      <c r="D694" s="2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2"/>
      <c r="C695" s="2"/>
      <c r="D695" s="2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2"/>
      <c r="C696" s="2"/>
      <c r="D696" s="2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2"/>
      <c r="C697" s="2"/>
      <c r="D697" s="2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2"/>
      <c r="C698" s="2"/>
      <c r="D698" s="2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2"/>
      <c r="C699" s="2"/>
      <c r="D699" s="2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2"/>
      <c r="C700" s="2"/>
      <c r="D700" s="2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2"/>
      <c r="C701" s="2"/>
      <c r="D701" s="2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2"/>
      <c r="C702" s="2"/>
      <c r="D702" s="2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2"/>
      <c r="C703" s="2"/>
      <c r="D703" s="2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2"/>
      <c r="C704" s="2"/>
      <c r="D704" s="2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2"/>
      <c r="C705" s="2"/>
      <c r="D705" s="2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2"/>
      <c r="C706" s="2"/>
      <c r="D706" s="2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2"/>
      <c r="C707" s="2"/>
      <c r="D707" s="2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2"/>
      <c r="C708" s="2"/>
      <c r="D708" s="2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2"/>
      <c r="C709" s="2"/>
      <c r="D709" s="2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2"/>
      <c r="C710" s="2"/>
      <c r="D710" s="2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2"/>
      <c r="C711" s="2"/>
      <c r="D711" s="2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2"/>
      <c r="C712" s="2"/>
      <c r="D712" s="2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2"/>
      <c r="C713" s="2"/>
      <c r="D713" s="2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2"/>
      <c r="C714" s="2"/>
      <c r="D714" s="2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2"/>
      <c r="C715" s="2"/>
      <c r="D715" s="2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2"/>
      <c r="C716" s="2"/>
      <c r="D716" s="2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2"/>
      <c r="C717" s="2"/>
      <c r="D717" s="2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2"/>
      <c r="C718" s="2"/>
      <c r="D718" s="2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2"/>
      <c r="C719" s="2"/>
      <c r="D719" s="2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2"/>
      <c r="C720" s="2"/>
      <c r="D720" s="2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2"/>
      <c r="C721" s="2"/>
      <c r="D721" s="2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2"/>
      <c r="C722" s="2"/>
      <c r="D722" s="2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2"/>
      <c r="C723" s="2"/>
      <c r="D723" s="2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2"/>
      <c r="C724" s="2"/>
      <c r="D724" s="2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2"/>
      <c r="C725" s="2"/>
      <c r="D725" s="2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2"/>
      <c r="C726" s="2"/>
      <c r="D726" s="2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2"/>
      <c r="C727" s="2"/>
      <c r="D727" s="2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2"/>
      <c r="C728" s="2"/>
      <c r="D728" s="2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2"/>
      <c r="C729" s="2"/>
      <c r="D729" s="2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2"/>
      <c r="C730" s="2"/>
      <c r="D730" s="2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2"/>
      <c r="C731" s="2"/>
      <c r="D731" s="2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2"/>
      <c r="C732" s="2"/>
      <c r="D732" s="2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2"/>
      <c r="C733" s="2"/>
      <c r="D733" s="2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2"/>
      <c r="C734" s="2"/>
      <c r="D734" s="2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2"/>
      <c r="C735" s="2"/>
      <c r="D735" s="2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2"/>
      <c r="C736" s="2"/>
      <c r="D736" s="2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2"/>
      <c r="C737" s="2"/>
      <c r="D737" s="2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2"/>
      <c r="C738" s="2"/>
      <c r="D738" s="2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2"/>
      <c r="C739" s="2"/>
      <c r="D739" s="2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2"/>
      <c r="C740" s="2"/>
      <c r="D740" s="2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2"/>
      <c r="C741" s="2"/>
      <c r="D741" s="2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2"/>
      <c r="C742" s="2"/>
      <c r="D742" s="2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2"/>
      <c r="C743" s="2"/>
      <c r="D743" s="2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2"/>
      <c r="C744" s="2"/>
      <c r="D744" s="2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2"/>
      <c r="C745" s="2"/>
      <c r="D745" s="2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2"/>
      <c r="C746" s="2"/>
      <c r="D746" s="2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2"/>
      <c r="C747" s="2"/>
      <c r="D747" s="2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2"/>
      <c r="C748" s="2"/>
      <c r="D748" s="2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2"/>
      <c r="C749" s="2"/>
      <c r="D749" s="2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2"/>
      <c r="C750" s="2"/>
      <c r="D750" s="2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2"/>
      <c r="C751" s="2"/>
      <c r="D751" s="2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2"/>
      <c r="C752" s="2"/>
      <c r="D752" s="2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2"/>
      <c r="C753" s="2"/>
      <c r="D753" s="2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2"/>
      <c r="C754" s="2"/>
      <c r="D754" s="2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2"/>
      <c r="C755" s="2"/>
      <c r="D755" s="2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2"/>
      <c r="C756" s="2"/>
      <c r="D756" s="2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2"/>
      <c r="C757" s="2"/>
      <c r="D757" s="2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2"/>
      <c r="C758" s="2"/>
      <c r="D758" s="2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2"/>
      <c r="C759" s="2"/>
      <c r="D759" s="2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2"/>
      <c r="C760" s="2"/>
      <c r="D760" s="2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2"/>
      <c r="C761" s="2"/>
      <c r="D761" s="2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2"/>
      <c r="C762" s="2"/>
      <c r="D762" s="2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2"/>
      <c r="C763" s="2"/>
      <c r="D763" s="2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2"/>
      <c r="C764" s="2"/>
      <c r="D764" s="2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2"/>
      <c r="C765" s="2"/>
      <c r="D765" s="2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2"/>
      <c r="C766" s="2"/>
      <c r="D766" s="2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2"/>
      <c r="C767" s="2"/>
      <c r="D767" s="2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2"/>
      <c r="C768" s="2"/>
      <c r="D768" s="2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2"/>
      <c r="C769" s="2"/>
      <c r="D769" s="2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2"/>
      <c r="C770" s="2"/>
      <c r="D770" s="2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2"/>
      <c r="C771" s="2"/>
      <c r="D771" s="2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2"/>
      <c r="C772" s="2"/>
      <c r="D772" s="2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2"/>
      <c r="C773" s="2"/>
      <c r="D773" s="2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2"/>
      <c r="C774" s="2"/>
      <c r="D774" s="2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2"/>
      <c r="C775" s="2"/>
      <c r="D775" s="2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2"/>
      <c r="C776" s="2"/>
      <c r="D776" s="2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2"/>
      <c r="C777" s="2"/>
      <c r="D777" s="2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2"/>
      <c r="C778" s="2"/>
      <c r="D778" s="2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2"/>
      <c r="C779" s="2"/>
      <c r="D779" s="2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2"/>
      <c r="C780" s="2"/>
      <c r="D780" s="2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2"/>
      <c r="C781" s="2"/>
      <c r="D781" s="2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2"/>
      <c r="C782" s="2"/>
      <c r="D782" s="2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2"/>
      <c r="C783" s="2"/>
      <c r="D783" s="2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2"/>
      <c r="C784" s="2"/>
      <c r="D784" s="2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2"/>
      <c r="C785" s="2"/>
      <c r="D785" s="2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2"/>
      <c r="C786" s="2"/>
      <c r="D786" s="2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2"/>
      <c r="C787" s="2"/>
      <c r="D787" s="2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2"/>
      <c r="C788" s="2"/>
      <c r="D788" s="2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2"/>
      <c r="C789" s="2"/>
      <c r="D789" s="2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2"/>
      <c r="C790" s="2"/>
      <c r="D790" s="2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2"/>
      <c r="C791" s="2"/>
      <c r="D791" s="2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2"/>
      <c r="C792" s="2"/>
      <c r="D792" s="2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2"/>
      <c r="C793" s="2"/>
      <c r="D793" s="2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2"/>
      <c r="C794" s="2"/>
      <c r="D794" s="2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2"/>
      <c r="C795" s="2"/>
      <c r="D795" s="2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2"/>
      <c r="C796" s="2"/>
      <c r="D796" s="2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2"/>
      <c r="C797" s="2"/>
      <c r="D797" s="2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2"/>
      <c r="C798" s="2"/>
      <c r="D798" s="2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2"/>
      <c r="C799" s="2"/>
      <c r="D799" s="2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2"/>
      <c r="C800" s="2"/>
      <c r="D800" s="2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2"/>
      <c r="C801" s="2"/>
      <c r="D801" s="2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2"/>
      <c r="C802" s="2"/>
      <c r="D802" s="2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2"/>
      <c r="C803" s="2"/>
      <c r="D803" s="2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2"/>
      <c r="C804" s="2"/>
      <c r="D804" s="2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2"/>
      <c r="C805" s="2"/>
      <c r="D805" s="2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2"/>
      <c r="C806" s="2"/>
      <c r="D806" s="2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2"/>
      <c r="C807" s="2"/>
      <c r="D807" s="2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2"/>
      <c r="C808" s="2"/>
      <c r="D808" s="2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2"/>
      <c r="C809" s="2"/>
      <c r="D809" s="2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2"/>
      <c r="C810" s="2"/>
      <c r="D810" s="2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2"/>
      <c r="C811" s="2"/>
      <c r="D811" s="2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2"/>
      <c r="C812" s="2"/>
      <c r="D812" s="2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2"/>
      <c r="C813" s="2"/>
      <c r="D813" s="2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2"/>
      <c r="C814" s="2"/>
      <c r="D814" s="2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2"/>
      <c r="C815" s="2"/>
      <c r="D815" s="2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2"/>
      <c r="C816" s="2"/>
      <c r="D816" s="2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2"/>
      <c r="C817" s="2"/>
      <c r="D817" s="2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2"/>
      <c r="C818" s="2"/>
      <c r="D818" s="2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2"/>
      <c r="C819" s="2"/>
      <c r="D819" s="2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2"/>
      <c r="C820" s="2"/>
      <c r="D820" s="2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2"/>
      <c r="C821" s="2"/>
      <c r="D821" s="2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2"/>
      <c r="C822" s="2"/>
      <c r="D822" s="2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2"/>
      <c r="C823" s="2"/>
      <c r="D823" s="2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2"/>
      <c r="C824" s="2"/>
      <c r="D824" s="2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2"/>
      <c r="C825" s="2"/>
      <c r="D825" s="2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2"/>
      <c r="C826" s="2"/>
      <c r="D826" s="2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2"/>
      <c r="C827" s="2"/>
      <c r="D827" s="2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2"/>
      <c r="C828" s="2"/>
      <c r="D828" s="2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2"/>
      <c r="C829" s="2"/>
      <c r="D829" s="2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2"/>
      <c r="C830" s="2"/>
      <c r="D830" s="2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2"/>
      <c r="C831" s="2"/>
      <c r="D831" s="2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2"/>
      <c r="C832" s="2"/>
      <c r="D832" s="2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2"/>
      <c r="C833" s="2"/>
      <c r="D833" s="2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2"/>
      <c r="C834" s="2"/>
      <c r="D834" s="2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2"/>
      <c r="C835" s="2"/>
      <c r="D835" s="2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2"/>
      <c r="C836" s="2"/>
      <c r="D836" s="2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2"/>
      <c r="C837" s="2"/>
      <c r="D837" s="2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2"/>
      <c r="C838" s="2"/>
      <c r="D838" s="2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2"/>
      <c r="C839" s="2"/>
      <c r="D839" s="2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2"/>
      <c r="C840" s="2"/>
      <c r="D840" s="2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2"/>
      <c r="C841" s="2"/>
      <c r="D841" s="2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2"/>
      <c r="C842" s="2"/>
      <c r="D842" s="2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2"/>
      <c r="C843" s="2"/>
      <c r="D843" s="2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2"/>
      <c r="C844" s="2"/>
      <c r="D844" s="2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2"/>
      <c r="C845" s="2"/>
      <c r="D845" s="2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2"/>
      <c r="C846" s="2"/>
      <c r="D846" s="2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2"/>
      <c r="C847" s="2"/>
      <c r="D847" s="2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2"/>
      <c r="C848" s="2"/>
      <c r="D848" s="2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2"/>
      <c r="C849" s="2"/>
      <c r="D849" s="2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2"/>
      <c r="C850" s="2"/>
      <c r="D850" s="2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2"/>
      <c r="C851" s="2"/>
      <c r="D851" s="2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2"/>
      <c r="C852" s="2"/>
      <c r="D852" s="2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2"/>
      <c r="C853" s="2"/>
      <c r="D853" s="2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2"/>
      <c r="C854" s="2"/>
      <c r="D854" s="2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2"/>
      <c r="C855" s="2"/>
      <c r="D855" s="2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2"/>
      <c r="C856" s="2"/>
      <c r="D856" s="2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2"/>
      <c r="C857" s="2"/>
      <c r="D857" s="2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2"/>
      <c r="C858" s="2"/>
      <c r="D858" s="2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2"/>
      <c r="C859" s="2"/>
      <c r="D859" s="2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2"/>
      <c r="C860" s="2"/>
      <c r="D860" s="2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2"/>
      <c r="C861" s="2"/>
      <c r="D861" s="2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2"/>
      <c r="C862" s="2"/>
      <c r="D862" s="2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2"/>
      <c r="C863" s="2"/>
      <c r="D863" s="2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2"/>
      <c r="C864" s="2"/>
      <c r="D864" s="2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2"/>
      <c r="C865" s="2"/>
      <c r="D865" s="2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2"/>
      <c r="C866" s="2"/>
      <c r="D866" s="2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2"/>
      <c r="C867" s="2"/>
      <c r="D867" s="2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2"/>
      <c r="C868" s="2"/>
      <c r="D868" s="2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2"/>
      <c r="C869" s="2"/>
      <c r="D869" s="2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2"/>
      <c r="C870" s="2"/>
      <c r="D870" s="2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2"/>
      <c r="C871" s="2"/>
      <c r="D871" s="2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2"/>
      <c r="C872" s="2"/>
      <c r="D872" s="2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2"/>
      <c r="C873" s="2"/>
      <c r="D873" s="2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2"/>
      <c r="C874" s="2"/>
      <c r="D874" s="2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2"/>
      <c r="C875" s="2"/>
      <c r="D875" s="2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2"/>
      <c r="C876" s="2"/>
      <c r="D876" s="2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2"/>
      <c r="C877" s="2"/>
      <c r="D877" s="2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2"/>
      <c r="C878" s="2"/>
      <c r="D878" s="2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2"/>
      <c r="C879" s="2"/>
      <c r="D879" s="2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2"/>
      <c r="C880" s="2"/>
      <c r="D880" s="2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2"/>
      <c r="C881" s="2"/>
      <c r="D881" s="2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2"/>
      <c r="C882" s="2"/>
      <c r="D882" s="2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2"/>
      <c r="C883" s="2"/>
      <c r="D883" s="2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2"/>
      <c r="C884" s="2"/>
      <c r="D884" s="2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2"/>
      <c r="C885" s="2"/>
      <c r="D885" s="2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2"/>
      <c r="C886" s="2"/>
      <c r="D886" s="2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2"/>
      <c r="C887" s="2"/>
      <c r="D887" s="2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2"/>
      <c r="C888" s="2"/>
      <c r="D888" s="2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2"/>
      <c r="C889" s="2"/>
      <c r="D889" s="2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2"/>
      <c r="C890" s="2"/>
      <c r="D890" s="2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2"/>
      <c r="C891" s="2"/>
      <c r="D891" s="2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2"/>
      <c r="C892" s="2"/>
      <c r="D892" s="2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2"/>
      <c r="C893" s="2"/>
      <c r="D893" s="2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2"/>
      <c r="C894" s="2"/>
      <c r="D894" s="2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2"/>
      <c r="C895" s="2"/>
      <c r="D895" s="2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2"/>
      <c r="C896" s="2"/>
      <c r="D896" s="2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2"/>
      <c r="C897" s="2"/>
      <c r="D897" s="2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2"/>
      <c r="C898" s="2"/>
      <c r="D898" s="2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2"/>
      <c r="C899" s="2"/>
      <c r="D899" s="2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2"/>
      <c r="C900" s="2"/>
      <c r="D900" s="2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2"/>
      <c r="C901" s="2"/>
      <c r="D901" s="2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2"/>
      <c r="C902" s="2"/>
      <c r="D902" s="2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2"/>
      <c r="C903" s="2"/>
      <c r="D903" s="2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2"/>
      <c r="C904" s="2"/>
      <c r="D904" s="2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2"/>
      <c r="C905" s="2"/>
      <c r="D905" s="2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2"/>
      <c r="C906" s="2"/>
      <c r="D906" s="2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2"/>
      <c r="C907" s="2"/>
      <c r="D907" s="2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2"/>
      <c r="C908" s="2"/>
      <c r="D908" s="2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2"/>
      <c r="C909" s="2"/>
      <c r="D909" s="2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2"/>
      <c r="C910" s="2"/>
      <c r="D910" s="2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2"/>
      <c r="C911" s="2"/>
      <c r="D911" s="2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2"/>
      <c r="C912" s="2"/>
      <c r="D912" s="2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2"/>
      <c r="C913" s="2"/>
      <c r="D913" s="2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2"/>
      <c r="C914" s="2"/>
      <c r="D914" s="2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2"/>
      <c r="C915" s="2"/>
      <c r="D915" s="2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2"/>
      <c r="C916" s="2"/>
      <c r="D916" s="2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2"/>
      <c r="C917" s="2"/>
      <c r="D917" s="2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2"/>
      <c r="C918" s="2"/>
      <c r="D918" s="2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2"/>
      <c r="C919" s="2"/>
      <c r="D919" s="2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2"/>
      <c r="C920" s="2"/>
      <c r="D920" s="2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2"/>
      <c r="C921" s="2"/>
      <c r="D921" s="2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2"/>
      <c r="C922" s="2"/>
      <c r="D922" s="2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2"/>
      <c r="C923" s="2"/>
      <c r="D923" s="2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2"/>
      <c r="C924" s="2"/>
      <c r="D924" s="2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2"/>
      <c r="C925" s="2"/>
      <c r="D925" s="2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2"/>
      <c r="C926" s="2"/>
      <c r="D926" s="2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2"/>
      <c r="C927" s="2"/>
      <c r="D927" s="2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2"/>
      <c r="C928" s="2"/>
      <c r="D928" s="2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2"/>
      <c r="C929" s="2"/>
      <c r="D929" s="2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2"/>
      <c r="C930" s="2"/>
      <c r="D930" s="2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2"/>
      <c r="C931" s="2"/>
      <c r="D931" s="2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2"/>
      <c r="C932" s="2"/>
      <c r="D932" s="2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2"/>
      <c r="C933" s="2"/>
      <c r="D933" s="2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2"/>
      <c r="C934" s="2"/>
      <c r="D934" s="2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2"/>
      <c r="C935" s="2"/>
      <c r="D935" s="2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2"/>
      <c r="C936" s="2"/>
      <c r="D936" s="2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2"/>
      <c r="C937" s="2"/>
      <c r="D937" s="2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2"/>
      <c r="C938" s="2"/>
      <c r="D938" s="2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2"/>
      <c r="C939" s="2"/>
      <c r="D939" s="2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2"/>
      <c r="C940" s="2"/>
      <c r="D940" s="2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2"/>
      <c r="C941" s="2"/>
      <c r="D941" s="2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2"/>
      <c r="C942" s="2"/>
      <c r="D942" s="2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2"/>
      <c r="C943" s="2"/>
      <c r="D943" s="2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2"/>
      <c r="C944" s="2"/>
      <c r="D944" s="2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2"/>
      <c r="C945" s="2"/>
      <c r="D945" s="2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2"/>
      <c r="C946" s="2"/>
      <c r="D946" s="2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2"/>
      <c r="C947" s="2"/>
      <c r="D947" s="2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2"/>
      <c r="C948" s="2"/>
      <c r="D948" s="2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2"/>
      <c r="C949" s="2"/>
      <c r="D949" s="2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2"/>
      <c r="C950" s="2"/>
      <c r="D950" s="2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2"/>
      <c r="C951" s="2"/>
      <c r="D951" s="2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2"/>
      <c r="C952" s="2"/>
      <c r="D952" s="2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2"/>
      <c r="C953" s="2"/>
      <c r="D953" s="2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2"/>
      <c r="C954" s="2"/>
      <c r="D954" s="2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2"/>
      <c r="C955" s="2"/>
      <c r="D955" s="2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2"/>
      <c r="C956" s="2"/>
      <c r="D956" s="2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2"/>
      <c r="C957" s="2"/>
      <c r="D957" s="2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2"/>
      <c r="C958" s="2"/>
      <c r="D958" s="2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2"/>
      <c r="C959" s="2"/>
      <c r="D959" s="2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2"/>
      <c r="C960" s="2"/>
      <c r="D960" s="2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2"/>
      <c r="C961" s="2"/>
      <c r="D961" s="2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2"/>
      <c r="C962" s="2"/>
      <c r="D962" s="2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2"/>
      <c r="C963" s="2"/>
      <c r="D963" s="2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2"/>
      <c r="C964" s="2"/>
      <c r="D964" s="2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2"/>
      <c r="C965" s="2"/>
      <c r="D965" s="2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2"/>
      <c r="C966" s="2"/>
      <c r="D966" s="2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2"/>
      <c r="C967" s="2"/>
      <c r="D967" s="2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2"/>
      <c r="C968" s="2"/>
      <c r="D968" s="2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2"/>
      <c r="C969" s="2"/>
      <c r="D969" s="2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2"/>
      <c r="C970" s="2"/>
      <c r="D970" s="2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2"/>
      <c r="C971" s="2"/>
      <c r="D971" s="2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2"/>
      <c r="C972" s="2"/>
      <c r="D972" s="2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2"/>
      <c r="C973" s="2"/>
      <c r="D973" s="2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2"/>
      <c r="C974" s="2"/>
      <c r="D974" s="2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2"/>
      <c r="C975" s="2"/>
      <c r="D975" s="2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2"/>
      <c r="C976" s="2"/>
      <c r="D976" s="2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2"/>
      <c r="C977" s="2"/>
      <c r="D977" s="2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2"/>
      <c r="C978" s="2"/>
      <c r="D978" s="2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2"/>
      <c r="C979" s="2"/>
      <c r="D979" s="2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2"/>
      <c r="C980" s="2"/>
      <c r="D980" s="2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2"/>
      <c r="C981" s="2"/>
      <c r="D981" s="2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2"/>
      <c r="C982" s="2"/>
      <c r="D982" s="2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2"/>
      <c r="C983" s="2"/>
      <c r="D983" s="2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2"/>
      <c r="C984" s="2"/>
      <c r="D984" s="2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2"/>
      <c r="C985" s="2"/>
      <c r="D985" s="2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2"/>
      <c r="C986" s="2"/>
      <c r="D986" s="2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2"/>
      <c r="C987" s="2"/>
      <c r="D987" s="2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2"/>
      <c r="C988" s="2"/>
      <c r="D988" s="2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2"/>
      <c r="C989" s="2"/>
      <c r="D989" s="2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2"/>
      <c r="C990" s="2"/>
      <c r="D990" s="2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2"/>
      <c r="C991" s="2"/>
      <c r="D991" s="2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2"/>
      <c r="C992" s="2"/>
      <c r="D992" s="2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2"/>
      <c r="C993" s="2"/>
      <c r="D993" s="2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2"/>
      <c r="C994" s="2"/>
      <c r="D994" s="2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2"/>
      <c r="C995" s="2"/>
      <c r="D995" s="2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2"/>
      <c r="C996" s="2"/>
      <c r="D996" s="2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2"/>
      <c r="C997" s="2"/>
      <c r="D997" s="2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2"/>
      <c r="C998" s="2"/>
      <c r="D998" s="2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2"/>
      <c r="C999" s="2"/>
      <c r="D999" s="2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2"/>
      <c r="C1000" s="2"/>
      <c r="D1000" s="2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2"/>
      <c r="C1001" s="2"/>
      <c r="D1001" s="2"/>
      <c r="E1001" s="1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2"/>
      <c r="C1002" s="2"/>
      <c r="D1002" s="2"/>
      <c r="E1002" s="1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2"/>
      <c r="C1003" s="2"/>
      <c r="D1003" s="2"/>
      <c r="E1003" s="1"/>
      <c r="F1003" s="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2"/>
      <c r="C1004" s="2"/>
      <c r="D1004" s="2"/>
      <c r="E1004" s="1"/>
      <c r="F1004" s="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</sheetData>
  <mergeCells count="1">
    <mergeCell ref="B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61.0"/>
    <col customWidth="1" min="3" max="3" width="21.38"/>
    <col customWidth="1" min="4" max="4" width="13.88"/>
    <col customWidth="1" min="7" max="7" width="13.0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13</v>
      </c>
      <c r="C2" s="18">
        <v>0.0</v>
      </c>
      <c r="D2" s="19" t="s">
        <v>6</v>
      </c>
      <c r="G2" s="20" t="s">
        <v>14</v>
      </c>
    </row>
    <row r="3">
      <c r="A3" s="17">
        <v>2.0</v>
      </c>
      <c r="B3" s="17" t="s">
        <v>15</v>
      </c>
      <c r="C3" s="21">
        <v>0.0023032407407407407</v>
      </c>
      <c r="D3" s="19" t="s">
        <v>6</v>
      </c>
      <c r="G3" s="22">
        <f>SUM(C2:C1000)</f>
        <v>0.2015972222</v>
      </c>
    </row>
    <row r="4">
      <c r="A4" s="17">
        <v>3.0</v>
      </c>
      <c r="B4" s="17" t="s">
        <v>16</v>
      </c>
      <c r="C4" s="21">
        <v>0.004548611111111111</v>
      </c>
      <c r="D4" s="19" t="s">
        <v>6</v>
      </c>
      <c r="G4" s="16"/>
    </row>
    <row r="5">
      <c r="A5" s="17">
        <v>4.0</v>
      </c>
      <c r="B5" s="17" t="s">
        <v>17</v>
      </c>
      <c r="C5" s="21">
        <v>0.010486111111111111</v>
      </c>
      <c r="D5" s="19" t="s">
        <v>6</v>
      </c>
      <c r="G5" s="19" t="s">
        <v>6</v>
      </c>
    </row>
    <row r="6">
      <c r="A6" s="17">
        <v>5.0</v>
      </c>
      <c r="B6" s="17" t="s">
        <v>18</v>
      </c>
      <c r="C6" s="21">
        <v>0.004803240740740741</v>
      </c>
      <c r="D6" s="19" t="s">
        <v>6</v>
      </c>
      <c r="G6" s="23">
        <f>SUMIF(D:D,G5,C:C)</f>
        <v>0.2015972222</v>
      </c>
    </row>
    <row r="7">
      <c r="A7" s="17">
        <v>6.0</v>
      </c>
      <c r="B7" s="17" t="s">
        <v>19</v>
      </c>
      <c r="C7" s="21">
        <v>0.00525462962962963</v>
      </c>
      <c r="D7" s="19" t="s">
        <v>6</v>
      </c>
      <c r="G7" s="16"/>
    </row>
    <row r="8">
      <c r="A8" s="17">
        <v>7.0</v>
      </c>
      <c r="B8" s="17" t="s">
        <v>20</v>
      </c>
      <c r="C8" s="21">
        <v>0.004375</v>
      </c>
      <c r="D8" s="19" t="s">
        <v>6</v>
      </c>
      <c r="G8" s="17" t="s">
        <v>7</v>
      </c>
    </row>
    <row r="9">
      <c r="A9" s="17">
        <v>8.0</v>
      </c>
      <c r="B9" s="17" t="s">
        <v>21</v>
      </c>
      <c r="C9" s="21">
        <v>0.004293981481481481</v>
      </c>
      <c r="D9" s="19" t="s">
        <v>6</v>
      </c>
      <c r="G9" s="23">
        <f>SUMIF(D:D,G8,C:C)</f>
        <v>0</v>
      </c>
    </row>
    <row r="10">
      <c r="A10" s="17">
        <v>9.0</v>
      </c>
      <c r="B10" s="17" t="s">
        <v>22</v>
      </c>
      <c r="C10" s="21">
        <v>0.006238425925925926</v>
      </c>
      <c r="D10" s="19" t="s">
        <v>6</v>
      </c>
      <c r="G10" s="16"/>
    </row>
    <row r="11">
      <c r="A11" s="17">
        <v>10.0</v>
      </c>
      <c r="B11" s="17" t="s">
        <v>23</v>
      </c>
      <c r="C11" s="21">
        <v>0.003425925925925926</v>
      </c>
      <c r="D11" s="19" t="s">
        <v>6</v>
      </c>
      <c r="G11" s="16"/>
    </row>
    <row r="12">
      <c r="A12" s="17">
        <v>11.0</v>
      </c>
      <c r="B12" s="17" t="s">
        <v>24</v>
      </c>
      <c r="C12" s="21">
        <v>0.00619212962962963</v>
      </c>
      <c r="D12" s="19" t="s">
        <v>6</v>
      </c>
      <c r="G12" s="16"/>
    </row>
    <row r="13">
      <c r="A13" s="17">
        <v>12.0</v>
      </c>
      <c r="B13" s="17" t="s">
        <v>25</v>
      </c>
      <c r="C13" s="21">
        <v>0.002824074074074074</v>
      </c>
      <c r="D13" s="19" t="s">
        <v>6</v>
      </c>
      <c r="G13" s="16"/>
    </row>
    <row r="14">
      <c r="A14" s="17">
        <v>13.0</v>
      </c>
      <c r="B14" s="17" t="s">
        <v>26</v>
      </c>
      <c r="C14" s="21">
        <v>0.0071875</v>
      </c>
      <c r="D14" s="19" t="s">
        <v>6</v>
      </c>
      <c r="F14" s="24"/>
      <c r="G14" s="16"/>
      <c r="H14" s="25"/>
      <c r="I14" s="24"/>
      <c r="J14" s="24"/>
      <c r="K14" s="26"/>
      <c r="L14" s="25"/>
      <c r="M14" s="24"/>
      <c r="N14" s="24"/>
      <c r="O14" s="26"/>
      <c r="P14" s="25"/>
      <c r="Q14" s="24"/>
      <c r="R14" s="24"/>
      <c r="S14" s="26"/>
      <c r="T14" s="25"/>
      <c r="U14" s="24"/>
      <c r="V14" s="24"/>
      <c r="W14" s="26"/>
      <c r="X14" s="25"/>
    </row>
    <row r="15">
      <c r="A15" s="17">
        <v>14.0</v>
      </c>
      <c r="B15" s="17" t="s">
        <v>27</v>
      </c>
      <c r="C15" s="21">
        <v>0.007048611111111111</v>
      </c>
      <c r="D15" s="19" t="s">
        <v>6</v>
      </c>
      <c r="F15" s="24"/>
      <c r="G15" s="16"/>
      <c r="H15" s="25"/>
      <c r="I15" s="24"/>
      <c r="J15" s="24"/>
      <c r="K15" s="26"/>
      <c r="L15" s="25"/>
      <c r="M15" s="24"/>
      <c r="N15" s="24"/>
      <c r="O15" s="26"/>
      <c r="P15" s="25"/>
      <c r="Q15" s="24"/>
      <c r="R15" s="24"/>
      <c r="S15" s="26"/>
      <c r="T15" s="25"/>
      <c r="U15" s="24"/>
      <c r="V15" s="24"/>
      <c r="W15" s="26"/>
      <c r="X15" s="25"/>
    </row>
    <row r="16">
      <c r="A16" s="17">
        <v>15.0</v>
      </c>
      <c r="B16" s="17" t="s">
        <v>28</v>
      </c>
      <c r="C16" s="21">
        <v>0.009502314814814814</v>
      </c>
      <c r="D16" s="19" t="s">
        <v>6</v>
      </c>
      <c r="F16" s="24"/>
      <c r="G16" s="16"/>
      <c r="H16" s="25"/>
      <c r="I16" s="24"/>
      <c r="J16" s="24"/>
      <c r="K16" s="26"/>
      <c r="L16" s="25"/>
      <c r="M16" s="24"/>
      <c r="N16" s="24"/>
      <c r="O16" s="26"/>
      <c r="P16" s="25"/>
      <c r="Q16" s="24"/>
      <c r="R16" s="24"/>
      <c r="S16" s="26"/>
      <c r="T16" s="25"/>
      <c r="U16" s="24"/>
      <c r="V16" s="24"/>
      <c r="W16" s="26"/>
      <c r="X16" s="25"/>
    </row>
    <row r="17">
      <c r="A17" s="17">
        <v>16.0</v>
      </c>
      <c r="B17" s="17" t="s">
        <v>29</v>
      </c>
      <c r="C17" s="21">
        <v>0.004502314814814815</v>
      </c>
      <c r="D17" s="19" t="s">
        <v>6</v>
      </c>
      <c r="F17" s="24"/>
      <c r="G17" s="16"/>
      <c r="H17" s="25"/>
      <c r="I17" s="24"/>
      <c r="J17" s="24"/>
      <c r="K17" s="26"/>
      <c r="L17" s="25"/>
      <c r="M17" s="24"/>
      <c r="N17" s="24"/>
      <c r="O17" s="26"/>
      <c r="P17" s="25"/>
      <c r="Q17" s="24"/>
      <c r="R17" s="24"/>
      <c r="S17" s="26"/>
      <c r="T17" s="25"/>
      <c r="U17" s="24"/>
      <c r="V17" s="24"/>
      <c r="W17" s="26"/>
      <c r="X17" s="25"/>
    </row>
    <row r="18">
      <c r="A18" s="17">
        <v>17.0</v>
      </c>
      <c r="B18" s="17" t="s">
        <v>30</v>
      </c>
      <c r="C18" s="21">
        <v>0.008599537037037037</v>
      </c>
      <c r="D18" s="19" t="s">
        <v>6</v>
      </c>
      <c r="F18" s="24"/>
      <c r="G18" s="16"/>
      <c r="H18" s="25"/>
      <c r="I18" s="24"/>
      <c r="J18" s="24"/>
      <c r="K18" s="26"/>
      <c r="L18" s="25"/>
      <c r="M18" s="24"/>
      <c r="N18" s="24"/>
      <c r="O18" s="26"/>
      <c r="P18" s="25"/>
      <c r="Q18" s="24"/>
      <c r="R18" s="24"/>
      <c r="S18" s="26"/>
      <c r="T18" s="25"/>
      <c r="U18" s="24"/>
      <c r="V18" s="24"/>
      <c r="W18" s="26"/>
      <c r="X18" s="25"/>
    </row>
    <row r="19">
      <c r="A19" s="17">
        <v>18.0</v>
      </c>
      <c r="B19" s="17" t="s">
        <v>31</v>
      </c>
      <c r="C19" s="21">
        <v>9.837962962962962E-4</v>
      </c>
      <c r="D19" s="19" t="s">
        <v>6</v>
      </c>
      <c r="F19" s="24"/>
      <c r="G19" s="16"/>
      <c r="H19" s="25"/>
      <c r="I19" s="24"/>
      <c r="J19" s="24"/>
      <c r="K19" s="26"/>
      <c r="L19" s="25"/>
      <c r="M19" s="24"/>
      <c r="N19" s="24"/>
      <c r="O19" s="26"/>
      <c r="P19" s="25"/>
      <c r="Q19" s="24"/>
      <c r="R19" s="24"/>
      <c r="S19" s="26"/>
      <c r="T19" s="25"/>
      <c r="U19" s="24"/>
      <c r="V19" s="24"/>
      <c r="W19" s="26"/>
      <c r="X19" s="25"/>
    </row>
    <row r="20">
      <c r="A20" s="17">
        <v>19.0</v>
      </c>
      <c r="B20" s="17" t="s">
        <v>32</v>
      </c>
      <c r="C20" s="21">
        <v>0.00681712962962963</v>
      </c>
      <c r="D20" s="19" t="s">
        <v>6</v>
      </c>
      <c r="F20" s="24"/>
      <c r="G20" s="16"/>
      <c r="H20" s="25"/>
      <c r="I20" s="24"/>
      <c r="J20" s="24"/>
      <c r="K20" s="26"/>
      <c r="L20" s="25"/>
      <c r="M20" s="24"/>
      <c r="N20" s="24"/>
      <c r="O20" s="26"/>
      <c r="P20" s="25"/>
      <c r="Q20" s="24"/>
      <c r="R20" s="24"/>
      <c r="S20" s="26"/>
      <c r="T20" s="25"/>
      <c r="U20" s="24"/>
      <c r="V20" s="24"/>
      <c r="W20" s="26"/>
      <c r="X20" s="25"/>
    </row>
    <row r="21">
      <c r="A21" s="17">
        <v>20.0</v>
      </c>
      <c r="B21" s="17" t="s">
        <v>33</v>
      </c>
      <c r="C21" s="21">
        <v>0.00832175925925926</v>
      </c>
      <c r="D21" s="19" t="s">
        <v>6</v>
      </c>
      <c r="F21" s="24"/>
      <c r="G21" s="16"/>
      <c r="H21" s="25"/>
      <c r="I21" s="24"/>
      <c r="J21" s="24"/>
      <c r="K21" s="26"/>
      <c r="L21" s="25"/>
      <c r="M21" s="24"/>
      <c r="N21" s="24"/>
      <c r="O21" s="26"/>
      <c r="P21" s="25"/>
      <c r="Q21" s="24"/>
      <c r="R21" s="24"/>
      <c r="S21" s="26"/>
      <c r="T21" s="25"/>
      <c r="U21" s="24"/>
      <c r="V21" s="24"/>
      <c r="W21" s="26"/>
      <c r="X21" s="25"/>
    </row>
    <row r="22">
      <c r="A22" s="17">
        <v>21.0</v>
      </c>
      <c r="B22" s="17" t="s">
        <v>34</v>
      </c>
      <c r="C22" s="21">
        <v>0.007615740740740741</v>
      </c>
      <c r="D22" s="19" t="s">
        <v>6</v>
      </c>
      <c r="F22" s="24"/>
      <c r="G22" s="16"/>
      <c r="H22" s="25"/>
      <c r="I22" s="24"/>
      <c r="J22" s="24"/>
      <c r="K22" s="26"/>
      <c r="L22" s="25"/>
      <c r="M22" s="24"/>
      <c r="N22" s="24"/>
      <c r="O22" s="26"/>
      <c r="P22" s="25"/>
      <c r="Q22" s="24"/>
      <c r="R22" s="24"/>
      <c r="S22" s="26"/>
      <c r="T22" s="25"/>
      <c r="U22" s="24"/>
      <c r="V22" s="24"/>
      <c r="W22" s="26"/>
      <c r="X22" s="25"/>
    </row>
    <row r="23">
      <c r="A23" s="17">
        <v>22.0</v>
      </c>
      <c r="B23" s="17" t="s">
        <v>35</v>
      </c>
      <c r="C23" s="21">
        <v>0.010300925925925925</v>
      </c>
      <c r="D23" s="19" t="s">
        <v>6</v>
      </c>
      <c r="F23" s="24"/>
      <c r="G23" s="16"/>
      <c r="H23" s="25"/>
      <c r="I23" s="24"/>
      <c r="J23" s="24"/>
      <c r="K23" s="26"/>
      <c r="L23" s="25"/>
      <c r="M23" s="24"/>
      <c r="N23" s="24"/>
      <c r="O23" s="26"/>
      <c r="P23" s="25"/>
      <c r="Q23" s="24"/>
      <c r="R23" s="24"/>
      <c r="S23" s="26"/>
      <c r="T23" s="25"/>
      <c r="U23" s="24"/>
      <c r="V23" s="24"/>
      <c r="W23" s="26"/>
      <c r="X23" s="25"/>
    </row>
    <row r="24">
      <c r="A24" s="17">
        <v>23.0</v>
      </c>
      <c r="B24" s="17" t="s">
        <v>36</v>
      </c>
      <c r="C24" s="21">
        <v>0.007719907407407407</v>
      </c>
      <c r="D24" s="19" t="s">
        <v>6</v>
      </c>
      <c r="F24" s="24"/>
      <c r="G24" s="16"/>
      <c r="H24" s="25"/>
      <c r="I24" s="24"/>
      <c r="J24" s="24"/>
      <c r="K24" s="26"/>
      <c r="L24" s="25"/>
      <c r="M24" s="24"/>
      <c r="N24" s="24"/>
      <c r="O24" s="26"/>
      <c r="P24" s="25"/>
      <c r="Q24" s="24"/>
      <c r="R24" s="24"/>
      <c r="S24" s="26"/>
      <c r="T24" s="25"/>
      <c r="U24" s="24"/>
      <c r="V24" s="24"/>
      <c r="W24" s="26"/>
      <c r="X24" s="25"/>
    </row>
    <row r="25">
      <c r="A25" s="17">
        <v>24.0</v>
      </c>
      <c r="B25" s="17" t="s">
        <v>37</v>
      </c>
      <c r="C25" s="21">
        <v>0.01167824074074074</v>
      </c>
      <c r="D25" s="19" t="s">
        <v>6</v>
      </c>
      <c r="F25" s="24"/>
      <c r="G25" s="16"/>
      <c r="H25" s="25"/>
      <c r="I25" s="24"/>
      <c r="J25" s="24"/>
      <c r="K25" s="26"/>
      <c r="L25" s="25"/>
      <c r="M25" s="24"/>
      <c r="N25" s="24"/>
      <c r="O25" s="26"/>
      <c r="P25" s="25"/>
      <c r="Q25" s="24"/>
      <c r="R25" s="24"/>
      <c r="S25" s="26"/>
      <c r="T25" s="25"/>
      <c r="U25" s="24"/>
      <c r="V25" s="24"/>
      <c r="W25" s="26"/>
      <c r="X25" s="25"/>
    </row>
    <row r="26">
      <c r="A26" s="17">
        <v>25.0</v>
      </c>
      <c r="B26" s="17" t="s">
        <v>38</v>
      </c>
      <c r="C26" s="21">
        <v>0.011122685185185185</v>
      </c>
      <c r="D26" s="19" t="s">
        <v>6</v>
      </c>
      <c r="F26" s="24"/>
      <c r="G26" s="16"/>
      <c r="H26" s="25"/>
      <c r="I26" s="24"/>
      <c r="J26" s="24"/>
      <c r="K26" s="26"/>
      <c r="L26" s="25"/>
      <c r="M26" s="24"/>
      <c r="N26" s="24"/>
      <c r="O26" s="26"/>
      <c r="P26" s="25"/>
      <c r="Q26" s="24"/>
      <c r="R26" s="24"/>
      <c r="S26" s="26"/>
      <c r="T26" s="25"/>
      <c r="U26" s="24"/>
      <c r="V26" s="24"/>
      <c r="W26" s="26"/>
      <c r="X26" s="25"/>
    </row>
    <row r="27">
      <c r="A27" s="17">
        <v>26.0</v>
      </c>
      <c r="B27" s="17" t="s">
        <v>39</v>
      </c>
      <c r="C27" s="21">
        <v>0.008402777777777778</v>
      </c>
      <c r="D27" s="19" t="s">
        <v>6</v>
      </c>
      <c r="F27" s="24"/>
      <c r="G27" s="16"/>
      <c r="H27" s="25"/>
      <c r="I27" s="24"/>
      <c r="J27" s="24"/>
      <c r="K27" s="26"/>
      <c r="L27" s="25"/>
      <c r="M27" s="24"/>
      <c r="N27" s="24"/>
      <c r="O27" s="26"/>
      <c r="P27" s="25"/>
      <c r="Q27" s="24"/>
      <c r="R27" s="24"/>
      <c r="S27" s="26"/>
      <c r="T27" s="25"/>
      <c r="U27" s="24"/>
      <c r="V27" s="24"/>
      <c r="W27" s="26"/>
      <c r="X27" s="25"/>
    </row>
    <row r="28">
      <c r="A28" s="17">
        <v>27.0</v>
      </c>
      <c r="B28" s="17" t="s">
        <v>40</v>
      </c>
      <c r="C28" s="21">
        <v>0.00474537037037037</v>
      </c>
      <c r="D28" s="19" t="s">
        <v>6</v>
      </c>
      <c r="F28" s="24"/>
      <c r="G28" s="16"/>
      <c r="H28" s="25"/>
      <c r="I28" s="24"/>
      <c r="J28" s="24"/>
      <c r="K28" s="26"/>
      <c r="L28" s="25"/>
      <c r="M28" s="24"/>
      <c r="N28" s="24"/>
      <c r="O28" s="26"/>
      <c r="P28" s="25"/>
      <c r="Q28" s="24"/>
      <c r="R28" s="24"/>
      <c r="S28" s="26"/>
      <c r="T28" s="25"/>
      <c r="U28" s="24"/>
      <c r="V28" s="24"/>
      <c r="W28" s="26"/>
      <c r="X28" s="25"/>
    </row>
    <row r="29">
      <c r="A29" s="17">
        <v>28.0</v>
      </c>
      <c r="B29" s="17" t="s">
        <v>41</v>
      </c>
      <c r="C29" s="21">
        <v>0.0042361111111111115</v>
      </c>
      <c r="D29" s="19" t="s">
        <v>6</v>
      </c>
      <c r="F29" s="24"/>
      <c r="G29" s="16"/>
      <c r="H29" s="25"/>
      <c r="I29" s="24"/>
      <c r="J29" s="24"/>
      <c r="K29" s="26"/>
      <c r="L29" s="25"/>
      <c r="M29" s="24"/>
      <c r="N29" s="24"/>
      <c r="O29" s="26"/>
      <c r="P29" s="25"/>
      <c r="Q29" s="24"/>
      <c r="R29" s="24"/>
      <c r="S29" s="26"/>
      <c r="T29" s="25"/>
      <c r="U29" s="24"/>
      <c r="V29" s="24"/>
      <c r="W29" s="26"/>
      <c r="X29" s="25"/>
    </row>
    <row r="30">
      <c r="A30" s="17">
        <v>29.0</v>
      </c>
      <c r="B30" s="17" t="s">
        <v>42</v>
      </c>
      <c r="C30" s="21">
        <v>0.002476851851851852</v>
      </c>
      <c r="D30" s="19" t="s">
        <v>6</v>
      </c>
      <c r="F30" s="24"/>
      <c r="G30" s="16"/>
      <c r="H30" s="25"/>
      <c r="I30" s="24"/>
      <c r="J30" s="24"/>
      <c r="K30" s="26"/>
      <c r="L30" s="25"/>
      <c r="M30" s="24"/>
      <c r="N30" s="24"/>
      <c r="O30" s="26"/>
      <c r="P30" s="25"/>
      <c r="Q30" s="24"/>
      <c r="R30" s="24"/>
      <c r="S30" s="26"/>
      <c r="T30" s="25"/>
      <c r="U30" s="24"/>
      <c r="V30" s="24"/>
      <c r="W30" s="26"/>
      <c r="X30" s="25"/>
    </row>
    <row r="31">
      <c r="A31" s="17">
        <v>30.0</v>
      </c>
      <c r="B31" s="17" t="s">
        <v>43</v>
      </c>
      <c r="C31" s="21">
        <v>0.004803240740740741</v>
      </c>
      <c r="D31" s="19" t="s">
        <v>6</v>
      </c>
      <c r="F31" s="24"/>
      <c r="G31" s="16"/>
      <c r="H31" s="25"/>
      <c r="I31" s="24"/>
      <c r="J31" s="24"/>
      <c r="K31" s="26"/>
      <c r="L31" s="25"/>
      <c r="M31" s="24"/>
      <c r="N31" s="24"/>
      <c r="O31" s="26"/>
      <c r="P31" s="25"/>
      <c r="Q31" s="24"/>
      <c r="R31" s="24"/>
      <c r="S31" s="26"/>
      <c r="T31" s="25"/>
      <c r="U31" s="24"/>
      <c r="V31" s="24"/>
      <c r="W31" s="26"/>
      <c r="X31" s="25"/>
    </row>
    <row r="32">
      <c r="A32" s="17">
        <v>31.0</v>
      </c>
      <c r="B32" s="17" t="s">
        <v>44</v>
      </c>
      <c r="C32" s="21">
        <v>0.007789351851851852</v>
      </c>
      <c r="D32" s="19" t="s">
        <v>6</v>
      </c>
      <c r="F32" s="24"/>
      <c r="G32" s="16"/>
      <c r="H32" s="25"/>
      <c r="I32" s="24"/>
      <c r="J32" s="24"/>
      <c r="K32" s="26"/>
      <c r="L32" s="25"/>
      <c r="M32" s="24"/>
      <c r="N32" s="24"/>
      <c r="O32" s="26"/>
      <c r="P32" s="25"/>
      <c r="Q32" s="24"/>
      <c r="R32" s="24"/>
      <c r="S32" s="26"/>
      <c r="T32" s="25"/>
      <c r="U32" s="24"/>
      <c r="V32" s="24"/>
      <c r="W32" s="26"/>
      <c r="X32" s="25"/>
    </row>
    <row r="33">
      <c r="A33" s="17">
        <v>32.0</v>
      </c>
      <c r="B33" s="17" t="s">
        <v>45</v>
      </c>
      <c r="C33" s="21">
        <v>0.0030439814814814813</v>
      </c>
      <c r="D33" s="19" t="s">
        <v>6</v>
      </c>
      <c r="F33" s="24"/>
      <c r="G33" s="16"/>
      <c r="H33" s="25"/>
      <c r="I33" s="24"/>
      <c r="J33" s="24"/>
      <c r="K33" s="26"/>
      <c r="L33" s="25"/>
      <c r="M33" s="24"/>
      <c r="N33" s="24"/>
      <c r="O33" s="26"/>
      <c r="P33" s="25"/>
      <c r="Q33" s="24"/>
      <c r="R33" s="24"/>
      <c r="S33" s="26"/>
      <c r="T33" s="25"/>
      <c r="U33" s="24"/>
      <c r="V33" s="24"/>
      <c r="W33" s="26"/>
      <c r="X33" s="25"/>
    </row>
    <row r="34">
      <c r="A34" s="17">
        <v>33.0</v>
      </c>
      <c r="B34" s="17" t="s">
        <v>46</v>
      </c>
      <c r="C34" s="21">
        <v>0.0034027777777777776</v>
      </c>
      <c r="D34" s="19" t="s">
        <v>6</v>
      </c>
      <c r="F34" s="24"/>
      <c r="G34" s="16"/>
      <c r="H34" s="25"/>
      <c r="I34" s="24"/>
      <c r="J34" s="24"/>
      <c r="K34" s="26"/>
      <c r="L34" s="25"/>
      <c r="M34" s="24"/>
      <c r="N34" s="24"/>
      <c r="O34" s="26"/>
      <c r="P34" s="25"/>
      <c r="Q34" s="24"/>
      <c r="R34" s="24"/>
      <c r="S34" s="26"/>
      <c r="T34" s="25"/>
      <c r="U34" s="24"/>
      <c r="V34" s="24"/>
      <c r="W34" s="26"/>
      <c r="X34" s="25"/>
    </row>
    <row r="35">
      <c r="A35" s="17">
        <v>34.0</v>
      </c>
      <c r="B35" s="17" t="s">
        <v>47</v>
      </c>
      <c r="C35" s="21">
        <v>0.006550925925925926</v>
      </c>
      <c r="D35" s="19" t="s">
        <v>6</v>
      </c>
      <c r="F35" s="24"/>
      <c r="G35" s="16"/>
      <c r="H35" s="25"/>
      <c r="I35" s="24"/>
      <c r="J35" s="24"/>
      <c r="K35" s="26"/>
      <c r="L35" s="25"/>
      <c r="M35" s="24"/>
      <c r="N35" s="24"/>
      <c r="O35" s="26"/>
      <c r="P35" s="25"/>
      <c r="Q35" s="24"/>
      <c r="R35" s="24"/>
      <c r="S35" s="26"/>
      <c r="T35" s="25"/>
      <c r="U35" s="24"/>
      <c r="V35" s="24"/>
      <c r="W35" s="26"/>
      <c r="X35" s="25"/>
    </row>
    <row r="36">
      <c r="A36" s="24"/>
      <c r="B36" s="24"/>
      <c r="C36" s="21"/>
      <c r="D36" s="25"/>
      <c r="E36" s="24"/>
      <c r="F36" s="24"/>
      <c r="G36" s="16"/>
      <c r="H36" s="25"/>
      <c r="I36" s="24"/>
      <c r="J36" s="24"/>
      <c r="K36" s="26"/>
      <c r="L36" s="25"/>
      <c r="M36" s="24"/>
      <c r="N36" s="24"/>
      <c r="O36" s="26"/>
      <c r="P36" s="25"/>
      <c r="Q36" s="24"/>
      <c r="R36" s="24"/>
      <c r="S36" s="26"/>
      <c r="T36" s="25"/>
      <c r="U36" s="24"/>
      <c r="V36" s="24"/>
      <c r="W36" s="26"/>
      <c r="X36" s="25"/>
    </row>
    <row r="37">
      <c r="A37" s="24"/>
      <c r="B37" s="24"/>
      <c r="C37" s="21"/>
      <c r="D37" s="25"/>
      <c r="E37" s="24"/>
      <c r="F37" s="24"/>
      <c r="G37" s="16"/>
      <c r="H37" s="25"/>
      <c r="I37" s="24"/>
      <c r="J37" s="24"/>
      <c r="K37" s="26"/>
      <c r="L37" s="25"/>
      <c r="M37" s="24"/>
      <c r="N37" s="24"/>
      <c r="O37" s="26"/>
      <c r="P37" s="25"/>
      <c r="Q37" s="24"/>
      <c r="R37" s="24"/>
      <c r="S37" s="26"/>
      <c r="T37" s="25"/>
      <c r="U37" s="24"/>
      <c r="V37" s="24"/>
      <c r="W37" s="26"/>
      <c r="X37" s="25"/>
    </row>
    <row r="38">
      <c r="A38" s="24"/>
      <c r="B38" s="24"/>
      <c r="C38" s="21"/>
      <c r="D38" s="25"/>
      <c r="E38" s="24"/>
      <c r="F38" s="24"/>
      <c r="G38" s="16"/>
      <c r="H38" s="25"/>
      <c r="I38" s="24"/>
      <c r="J38" s="24"/>
      <c r="K38" s="26"/>
      <c r="L38" s="25"/>
      <c r="M38" s="24"/>
      <c r="N38" s="24"/>
      <c r="O38" s="26"/>
      <c r="P38" s="25"/>
      <c r="Q38" s="24"/>
      <c r="R38" s="24"/>
      <c r="S38" s="26"/>
      <c r="T38" s="25"/>
      <c r="U38" s="24"/>
      <c r="V38" s="24"/>
      <c r="W38" s="26"/>
      <c r="X38" s="25"/>
    </row>
    <row r="39">
      <c r="A39" s="24"/>
      <c r="B39" s="24"/>
      <c r="C39" s="21"/>
      <c r="D39" s="25"/>
      <c r="E39" s="24"/>
      <c r="F39" s="24"/>
      <c r="G39" s="16"/>
      <c r="H39" s="25"/>
      <c r="I39" s="24"/>
      <c r="J39" s="24"/>
      <c r="K39" s="26"/>
      <c r="L39" s="25"/>
      <c r="M39" s="24"/>
      <c r="N39" s="24"/>
      <c r="O39" s="26"/>
      <c r="P39" s="25"/>
      <c r="Q39" s="24"/>
      <c r="R39" s="24"/>
      <c r="S39" s="26"/>
      <c r="T39" s="25"/>
      <c r="U39" s="24"/>
      <c r="V39" s="24"/>
      <c r="W39" s="26"/>
      <c r="X39" s="25"/>
    </row>
    <row r="40">
      <c r="A40" s="24"/>
      <c r="B40" s="24"/>
      <c r="C40" s="21"/>
      <c r="D40" s="25"/>
      <c r="E40" s="24"/>
      <c r="F40" s="24"/>
      <c r="G40" s="16"/>
      <c r="H40" s="25"/>
      <c r="I40" s="24"/>
      <c r="J40" s="24"/>
      <c r="K40" s="26"/>
      <c r="L40" s="25"/>
      <c r="M40" s="24"/>
      <c r="N40" s="24"/>
      <c r="O40" s="26"/>
      <c r="P40" s="25"/>
      <c r="Q40" s="24"/>
      <c r="R40" s="24"/>
      <c r="S40" s="26"/>
      <c r="T40" s="25"/>
      <c r="U40" s="24"/>
      <c r="V40" s="24"/>
      <c r="W40" s="26"/>
      <c r="X40" s="25"/>
    </row>
    <row r="41">
      <c r="A41" s="24"/>
      <c r="B41" s="24"/>
      <c r="C41" s="21"/>
      <c r="D41" s="25"/>
      <c r="E41" s="24"/>
      <c r="F41" s="24"/>
      <c r="G41" s="16"/>
      <c r="H41" s="25"/>
      <c r="I41" s="24"/>
      <c r="J41" s="24"/>
      <c r="K41" s="26"/>
      <c r="L41" s="25"/>
      <c r="M41" s="24"/>
      <c r="N41" s="24"/>
      <c r="O41" s="26"/>
      <c r="P41" s="25"/>
      <c r="Q41" s="24"/>
      <c r="R41" s="24"/>
      <c r="S41" s="26"/>
      <c r="T41" s="25"/>
      <c r="U41" s="24"/>
      <c r="V41" s="24"/>
      <c r="W41" s="26"/>
      <c r="X41" s="25"/>
    </row>
    <row r="42">
      <c r="A42" s="24"/>
      <c r="B42" s="24"/>
      <c r="C42" s="21"/>
      <c r="D42" s="25"/>
      <c r="E42" s="24"/>
      <c r="F42" s="24"/>
      <c r="G42" s="16"/>
      <c r="H42" s="25"/>
      <c r="I42" s="24"/>
      <c r="J42" s="24"/>
      <c r="K42" s="26"/>
      <c r="L42" s="25"/>
      <c r="M42" s="24"/>
      <c r="N42" s="24"/>
      <c r="O42" s="26"/>
      <c r="P42" s="25"/>
      <c r="Q42" s="24"/>
      <c r="R42" s="24"/>
      <c r="S42" s="26"/>
      <c r="T42" s="25"/>
      <c r="U42" s="24"/>
      <c r="V42" s="24"/>
      <c r="W42" s="26"/>
      <c r="X42" s="25"/>
    </row>
    <row r="43">
      <c r="A43" s="24"/>
      <c r="B43" s="24"/>
      <c r="C43" s="21"/>
      <c r="D43" s="25"/>
      <c r="E43" s="24"/>
      <c r="F43" s="24"/>
      <c r="G43" s="16"/>
      <c r="H43" s="25"/>
      <c r="I43" s="24"/>
      <c r="J43" s="24"/>
      <c r="K43" s="26"/>
      <c r="L43" s="25"/>
      <c r="M43" s="24"/>
      <c r="N43" s="24"/>
      <c r="O43" s="26"/>
      <c r="P43" s="25"/>
      <c r="Q43" s="24"/>
      <c r="R43" s="24"/>
      <c r="S43" s="26"/>
      <c r="T43" s="25"/>
      <c r="U43" s="24"/>
      <c r="V43" s="24"/>
      <c r="W43" s="26"/>
      <c r="X43" s="25"/>
    </row>
    <row r="44">
      <c r="A44" s="24"/>
      <c r="B44" s="24"/>
      <c r="C44" s="21"/>
      <c r="D44" s="25"/>
      <c r="E44" s="24"/>
      <c r="F44" s="24"/>
      <c r="G44" s="16"/>
      <c r="H44" s="25"/>
      <c r="I44" s="24"/>
      <c r="J44" s="24"/>
      <c r="K44" s="26"/>
      <c r="L44" s="25"/>
      <c r="M44" s="24"/>
      <c r="N44" s="24"/>
      <c r="O44" s="26"/>
      <c r="P44" s="25"/>
      <c r="Q44" s="24"/>
      <c r="R44" s="24"/>
      <c r="S44" s="26"/>
      <c r="T44" s="25"/>
      <c r="U44" s="24"/>
      <c r="V44" s="24"/>
      <c r="W44" s="26"/>
      <c r="X44" s="25"/>
    </row>
    <row r="45">
      <c r="A45" s="24"/>
      <c r="B45" s="24"/>
      <c r="C45" s="21"/>
      <c r="D45" s="25"/>
      <c r="E45" s="24"/>
      <c r="F45" s="24"/>
      <c r="G45" s="16"/>
      <c r="H45" s="25"/>
      <c r="I45" s="24"/>
      <c r="J45" s="24"/>
      <c r="K45" s="26"/>
      <c r="L45" s="25"/>
      <c r="M45" s="24"/>
      <c r="N45" s="24"/>
      <c r="O45" s="26"/>
      <c r="P45" s="25"/>
      <c r="Q45" s="24"/>
      <c r="R45" s="24"/>
      <c r="S45" s="26"/>
      <c r="T45" s="25"/>
      <c r="U45" s="24"/>
      <c r="V45" s="24"/>
      <c r="W45" s="26"/>
      <c r="X45" s="25"/>
    </row>
    <row r="46">
      <c r="A46" s="24"/>
      <c r="B46" s="24"/>
      <c r="C46" s="21"/>
      <c r="D46" s="25"/>
      <c r="E46" s="24"/>
      <c r="F46" s="24"/>
      <c r="G46" s="16"/>
      <c r="H46" s="25"/>
      <c r="I46" s="24"/>
      <c r="J46" s="24"/>
      <c r="K46" s="26"/>
      <c r="L46" s="25"/>
      <c r="M46" s="24"/>
      <c r="N46" s="24"/>
      <c r="O46" s="26"/>
      <c r="P46" s="25"/>
      <c r="Q46" s="24"/>
      <c r="R46" s="24"/>
      <c r="S46" s="26"/>
      <c r="T46" s="25"/>
      <c r="U46" s="24"/>
      <c r="V46" s="24"/>
      <c r="W46" s="26"/>
      <c r="X46" s="25"/>
    </row>
    <row r="47">
      <c r="A47" s="24"/>
      <c r="B47" s="24"/>
      <c r="C47" s="21"/>
      <c r="D47" s="25"/>
      <c r="E47" s="24"/>
      <c r="F47" s="24"/>
      <c r="G47" s="16"/>
      <c r="H47" s="25"/>
      <c r="I47" s="24"/>
      <c r="J47" s="24"/>
      <c r="K47" s="26"/>
      <c r="L47" s="25"/>
      <c r="M47" s="24"/>
      <c r="N47" s="24"/>
      <c r="O47" s="26"/>
      <c r="P47" s="25"/>
      <c r="Q47" s="24"/>
      <c r="R47" s="24"/>
      <c r="S47" s="26"/>
      <c r="T47" s="25"/>
      <c r="U47" s="24"/>
      <c r="V47" s="24"/>
      <c r="W47" s="26"/>
      <c r="X47" s="25"/>
    </row>
    <row r="48">
      <c r="A48" s="24"/>
      <c r="B48" s="24"/>
      <c r="C48" s="21"/>
      <c r="D48" s="25"/>
      <c r="E48" s="24"/>
      <c r="F48" s="24"/>
      <c r="G48" s="16"/>
      <c r="H48" s="25"/>
      <c r="I48" s="24"/>
      <c r="J48" s="24"/>
      <c r="K48" s="26"/>
      <c r="L48" s="25"/>
      <c r="M48" s="24"/>
      <c r="N48" s="24"/>
      <c r="O48" s="26"/>
      <c r="P48" s="25"/>
      <c r="Q48" s="24"/>
      <c r="R48" s="24"/>
      <c r="S48" s="26"/>
      <c r="T48" s="25"/>
      <c r="U48" s="24"/>
      <c r="V48" s="24"/>
      <c r="W48" s="26"/>
      <c r="X48" s="25"/>
    </row>
    <row r="49">
      <c r="A49" s="24"/>
      <c r="B49" s="24"/>
      <c r="C49" s="21"/>
      <c r="D49" s="25"/>
      <c r="E49" s="24"/>
      <c r="F49" s="24"/>
      <c r="G49" s="16"/>
      <c r="H49" s="25"/>
      <c r="I49" s="24"/>
      <c r="J49" s="24"/>
      <c r="K49" s="26"/>
      <c r="L49" s="25"/>
      <c r="M49" s="24"/>
      <c r="N49" s="24"/>
      <c r="O49" s="26"/>
      <c r="P49" s="25"/>
      <c r="Q49" s="24"/>
      <c r="R49" s="24"/>
      <c r="S49" s="26"/>
      <c r="T49" s="25"/>
      <c r="U49" s="24"/>
      <c r="V49" s="24"/>
      <c r="W49" s="26"/>
      <c r="X49" s="25"/>
    </row>
    <row r="50">
      <c r="A50" s="24"/>
      <c r="B50" s="24"/>
      <c r="C50" s="21"/>
      <c r="D50" s="25"/>
      <c r="E50" s="24"/>
      <c r="F50" s="24"/>
      <c r="G50" s="16"/>
      <c r="H50" s="25"/>
      <c r="I50" s="24"/>
      <c r="J50" s="24"/>
      <c r="K50" s="26"/>
      <c r="L50" s="25"/>
      <c r="M50" s="24"/>
      <c r="N50" s="24"/>
      <c r="O50" s="26"/>
      <c r="P50" s="25"/>
      <c r="Q50" s="24"/>
      <c r="R50" s="24"/>
      <c r="S50" s="26"/>
      <c r="T50" s="25"/>
      <c r="U50" s="24"/>
      <c r="V50" s="24"/>
      <c r="W50" s="26"/>
      <c r="X50" s="25"/>
    </row>
    <row r="51">
      <c r="A51" s="24"/>
      <c r="B51" s="24"/>
      <c r="C51" s="21"/>
      <c r="D51" s="25"/>
      <c r="E51" s="24"/>
      <c r="F51" s="24"/>
      <c r="G51" s="16"/>
      <c r="H51" s="25"/>
      <c r="I51" s="24"/>
      <c r="J51" s="24"/>
      <c r="K51" s="26"/>
      <c r="L51" s="25"/>
      <c r="M51" s="24"/>
      <c r="N51" s="24"/>
      <c r="O51" s="26"/>
      <c r="P51" s="25"/>
      <c r="Q51" s="24"/>
      <c r="R51" s="24"/>
      <c r="S51" s="26"/>
      <c r="T51" s="25"/>
      <c r="U51" s="24"/>
      <c r="V51" s="24"/>
      <c r="W51" s="26"/>
      <c r="X51" s="25"/>
    </row>
    <row r="52">
      <c r="A52" s="24"/>
      <c r="B52" s="24"/>
      <c r="C52" s="21"/>
      <c r="D52" s="25"/>
      <c r="E52" s="24"/>
      <c r="F52" s="24"/>
      <c r="G52" s="16"/>
      <c r="H52" s="25"/>
      <c r="I52" s="24"/>
      <c r="J52" s="24"/>
      <c r="K52" s="26"/>
      <c r="L52" s="25"/>
      <c r="M52" s="24"/>
      <c r="N52" s="24"/>
      <c r="O52" s="26"/>
      <c r="P52" s="25"/>
      <c r="Q52" s="24"/>
      <c r="R52" s="24"/>
      <c r="S52" s="26"/>
      <c r="T52" s="25"/>
      <c r="U52" s="24"/>
      <c r="V52" s="24"/>
      <c r="W52" s="26"/>
      <c r="X52" s="25"/>
    </row>
    <row r="53">
      <c r="A53" s="24"/>
      <c r="B53" s="24"/>
      <c r="C53" s="21"/>
      <c r="D53" s="25"/>
      <c r="E53" s="24"/>
      <c r="F53" s="24"/>
      <c r="G53" s="16"/>
      <c r="H53" s="25"/>
      <c r="I53" s="24"/>
      <c r="J53" s="24"/>
      <c r="K53" s="26"/>
      <c r="L53" s="25"/>
      <c r="M53" s="24"/>
      <c r="N53" s="24"/>
      <c r="O53" s="26"/>
      <c r="P53" s="25"/>
      <c r="Q53" s="24"/>
      <c r="R53" s="24"/>
      <c r="S53" s="26"/>
      <c r="T53" s="25"/>
      <c r="U53" s="24"/>
      <c r="V53" s="24"/>
      <c r="W53" s="26"/>
      <c r="X53" s="25"/>
    </row>
    <row r="54">
      <c r="C54" s="21"/>
      <c r="G54" s="16"/>
    </row>
    <row r="55">
      <c r="C55" s="21"/>
      <c r="G55" s="16"/>
    </row>
    <row r="56">
      <c r="C56" s="21"/>
      <c r="G56" s="16"/>
    </row>
    <row r="57">
      <c r="C57" s="21"/>
      <c r="G57" s="16"/>
    </row>
    <row r="58">
      <c r="C58" s="21"/>
      <c r="G58" s="16"/>
    </row>
    <row r="59">
      <c r="C59" s="21"/>
      <c r="G59" s="16"/>
    </row>
    <row r="60">
      <c r="C60" s="21"/>
      <c r="G60" s="16"/>
    </row>
    <row r="61">
      <c r="C61" s="21"/>
      <c r="G61" s="16"/>
    </row>
    <row r="62">
      <c r="C62" s="21"/>
      <c r="G62" s="16"/>
    </row>
    <row r="63">
      <c r="C63" s="21"/>
      <c r="G63" s="16"/>
    </row>
    <row r="64">
      <c r="C64" s="21"/>
      <c r="G64" s="16"/>
    </row>
    <row r="65">
      <c r="C65" s="21"/>
      <c r="G65" s="16"/>
    </row>
    <row r="66">
      <c r="C66" s="21"/>
      <c r="G66" s="16"/>
    </row>
    <row r="67">
      <c r="C67" s="21"/>
      <c r="G67" s="16"/>
    </row>
    <row r="68">
      <c r="C68" s="21"/>
      <c r="G68" s="16"/>
    </row>
    <row r="69">
      <c r="C69" s="21"/>
      <c r="G69" s="16"/>
    </row>
    <row r="70">
      <c r="C70" s="21"/>
      <c r="G70" s="16"/>
    </row>
    <row r="71">
      <c r="C71" s="21"/>
      <c r="G71" s="16"/>
    </row>
    <row r="72">
      <c r="C72" s="21"/>
      <c r="G72" s="16"/>
    </row>
    <row r="73">
      <c r="C73" s="21"/>
      <c r="G73" s="16"/>
    </row>
    <row r="74">
      <c r="C74" s="21"/>
      <c r="G74" s="16"/>
    </row>
    <row r="75">
      <c r="C75" s="21"/>
      <c r="G75" s="16"/>
    </row>
    <row r="76">
      <c r="C76" s="21"/>
      <c r="G76" s="16"/>
    </row>
    <row r="77">
      <c r="C77" s="21"/>
      <c r="G77" s="16"/>
    </row>
    <row r="78">
      <c r="C78" s="21"/>
      <c r="G78" s="16"/>
    </row>
    <row r="79">
      <c r="C79" s="21"/>
      <c r="G79" s="16"/>
    </row>
    <row r="80">
      <c r="C80" s="21"/>
      <c r="G80" s="16"/>
    </row>
    <row r="81">
      <c r="C81" s="21"/>
      <c r="G81" s="16"/>
    </row>
    <row r="82">
      <c r="C82" s="21"/>
      <c r="G82" s="16"/>
    </row>
    <row r="83">
      <c r="C83" s="21"/>
      <c r="G83" s="16"/>
    </row>
    <row r="84">
      <c r="C84" s="21"/>
      <c r="G84" s="16"/>
    </row>
    <row r="85">
      <c r="C85" s="21"/>
      <c r="G85" s="16"/>
    </row>
    <row r="86">
      <c r="C86" s="21"/>
      <c r="G86" s="16"/>
    </row>
    <row r="87">
      <c r="C87" s="21"/>
      <c r="G87" s="16"/>
    </row>
    <row r="88">
      <c r="C88" s="21"/>
      <c r="G88" s="16"/>
    </row>
    <row r="89">
      <c r="C89" s="21"/>
      <c r="G89" s="16"/>
    </row>
    <row r="90">
      <c r="C90" s="21"/>
      <c r="G90" s="16"/>
    </row>
    <row r="91">
      <c r="C91" s="21"/>
      <c r="G91" s="16"/>
    </row>
    <row r="92">
      <c r="C92" s="21"/>
      <c r="G92" s="16"/>
    </row>
    <row r="93">
      <c r="C93" s="21"/>
      <c r="G93" s="16"/>
    </row>
    <row r="94">
      <c r="C94" s="21"/>
      <c r="G94" s="16"/>
    </row>
    <row r="95">
      <c r="C95" s="21"/>
      <c r="G95" s="16"/>
    </row>
    <row r="96">
      <c r="C96" s="21"/>
      <c r="G96" s="16"/>
    </row>
    <row r="97">
      <c r="C97" s="21"/>
      <c r="G97" s="16"/>
    </row>
    <row r="98">
      <c r="C98" s="21"/>
      <c r="G98" s="16"/>
    </row>
    <row r="99">
      <c r="C99" s="21"/>
      <c r="G99" s="16"/>
    </row>
    <row r="100">
      <c r="C100" s="21"/>
      <c r="G100" s="16"/>
    </row>
    <row r="101">
      <c r="C101" s="21"/>
      <c r="G101" s="16"/>
    </row>
    <row r="102">
      <c r="C102" s="21"/>
      <c r="G102" s="16"/>
    </row>
    <row r="103">
      <c r="C103" s="21"/>
      <c r="G103" s="16"/>
    </row>
    <row r="104">
      <c r="C104" s="21"/>
      <c r="G104" s="16"/>
    </row>
    <row r="105">
      <c r="C105" s="21"/>
      <c r="G105" s="16"/>
    </row>
    <row r="106">
      <c r="C106" s="21"/>
      <c r="G106" s="16"/>
    </row>
    <row r="107">
      <c r="C107" s="21"/>
      <c r="G107" s="16"/>
    </row>
    <row r="108">
      <c r="C108" s="21"/>
      <c r="G108" s="16"/>
    </row>
    <row r="109">
      <c r="C109" s="21"/>
      <c r="G109" s="16"/>
    </row>
    <row r="110">
      <c r="C110" s="21"/>
      <c r="G110" s="16"/>
    </row>
    <row r="111">
      <c r="C111" s="21"/>
      <c r="G111" s="16"/>
    </row>
    <row r="112">
      <c r="C112" s="21"/>
      <c r="G112" s="16"/>
    </row>
    <row r="113">
      <c r="C113" s="21"/>
      <c r="G113" s="16"/>
    </row>
    <row r="114">
      <c r="C114" s="21"/>
      <c r="G114" s="16"/>
    </row>
    <row r="115">
      <c r="C115" s="21"/>
      <c r="G115" s="16"/>
    </row>
    <row r="116">
      <c r="C116" s="21"/>
      <c r="G116" s="16"/>
    </row>
    <row r="117">
      <c r="C117" s="21"/>
      <c r="G117" s="16"/>
    </row>
    <row r="118">
      <c r="C118" s="21"/>
      <c r="G118" s="16"/>
    </row>
    <row r="119">
      <c r="C119" s="21"/>
      <c r="G119" s="16"/>
    </row>
    <row r="120">
      <c r="C120" s="21"/>
      <c r="G120" s="16"/>
    </row>
    <row r="121">
      <c r="C121" s="21"/>
      <c r="G121" s="16"/>
    </row>
    <row r="122">
      <c r="C122" s="21"/>
      <c r="G122" s="16"/>
    </row>
    <row r="123">
      <c r="C123" s="21"/>
      <c r="G123" s="16"/>
    </row>
    <row r="124">
      <c r="C124" s="21"/>
      <c r="G124" s="16"/>
    </row>
    <row r="125">
      <c r="C125" s="21"/>
      <c r="G125" s="16"/>
    </row>
    <row r="126">
      <c r="C126" s="21"/>
      <c r="G126" s="16"/>
    </row>
    <row r="127">
      <c r="C127" s="21"/>
      <c r="G127" s="16"/>
    </row>
    <row r="128">
      <c r="C128" s="21"/>
      <c r="G128" s="16"/>
    </row>
    <row r="129">
      <c r="C129" s="21"/>
      <c r="G129" s="16"/>
    </row>
    <row r="130">
      <c r="C130" s="21"/>
      <c r="G130" s="16"/>
    </row>
    <row r="131">
      <c r="C131" s="21"/>
      <c r="G131" s="16"/>
    </row>
    <row r="132">
      <c r="C132" s="21"/>
      <c r="G132" s="16"/>
    </row>
    <row r="133">
      <c r="C133" s="21"/>
      <c r="G133" s="16"/>
    </row>
    <row r="134">
      <c r="C134" s="21"/>
      <c r="G134" s="16"/>
    </row>
    <row r="135">
      <c r="C135" s="21"/>
      <c r="G135" s="16"/>
    </row>
    <row r="136">
      <c r="C136" s="21"/>
      <c r="G136" s="16"/>
    </row>
    <row r="137">
      <c r="C137" s="21"/>
      <c r="G137" s="16"/>
    </row>
    <row r="138">
      <c r="C138" s="21"/>
      <c r="G138" s="16"/>
    </row>
    <row r="139">
      <c r="C139" s="21"/>
      <c r="G139" s="16"/>
    </row>
    <row r="140">
      <c r="C140" s="21"/>
      <c r="G140" s="16"/>
    </row>
    <row r="141">
      <c r="C141" s="21"/>
      <c r="G141" s="16"/>
    </row>
    <row r="142">
      <c r="C142" s="21"/>
      <c r="G142" s="16"/>
    </row>
    <row r="143">
      <c r="C143" s="21"/>
      <c r="G143" s="16"/>
    </row>
    <row r="144">
      <c r="C144" s="21"/>
      <c r="G144" s="16"/>
    </row>
    <row r="145">
      <c r="C145" s="21"/>
      <c r="G145" s="16"/>
    </row>
    <row r="146">
      <c r="C146" s="21"/>
      <c r="G146" s="16"/>
    </row>
    <row r="147">
      <c r="C147" s="21"/>
      <c r="G147" s="16"/>
    </row>
    <row r="148">
      <c r="C148" s="21"/>
      <c r="G148" s="16"/>
    </row>
    <row r="149">
      <c r="C149" s="21"/>
      <c r="G149" s="16"/>
    </row>
    <row r="150">
      <c r="C150" s="21"/>
      <c r="G150" s="16"/>
    </row>
    <row r="151">
      <c r="C151" s="21"/>
      <c r="G151" s="16"/>
    </row>
    <row r="152">
      <c r="C152" s="21"/>
      <c r="G152" s="16"/>
    </row>
    <row r="153">
      <c r="C153" s="21"/>
      <c r="G153" s="16"/>
    </row>
    <row r="154">
      <c r="C154" s="21"/>
      <c r="G154" s="16"/>
    </row>
    <row r="155">
      <c r="C155" s="21"/>
      <c r="G155" s="16"/>
    </row>
    <row r="156">
      <c r="C156" s="21"/>
      <c r="G156" s="16"/>
    </row>
    <row r="157">
      <c r="C157" s="21"/>
      <c r="G157" s="16"/>
    </row>
    <row r="158">
      <c r="C158" s="21"/>
      <c r="G158" s="16"/>
    </row>
    <row r="159">
      <c r="C159" s="21"/>
      <c r="G159" s="16"/>
    </row>
    <row r="160">
      <c r="C160" s="21"/>
      <c r="G160" s="16"/>
    </row>
    <row r="161">
      <c r="C161" s="21"/>
      <c r="G161" s="16"/>
    </row>
    <row r="162">
      <c r="C162" s="21"/>
      <c r="G162" s="16"/>
    </row>
    <row r="163">
      <c r="C163" s="21"/>
      <c r="G163" s="16"/>
    </row>
    <row r="164">
      <c r="C164" s="21"/>
      <c r="G164" s="16"/>
    </row>
    <row r="165">
      <c r="C165" s="21"/>
      <c r="G165" s="16"/>
    </row>
    <row r="166">
      <c r="C166" s="21"/>
      <c r="G166" s="16"/>
    </row>
    <row r="167">
      <c r="C167" s="21"/>
      <c r="G167" s="16"/>
    </row>
    <row r="168">
      <c r="C168" s="21"/>
      <c r="G168" s="16"/>
    </row>
    <row r="169">
      <c r="C169" s="21"/>
      <c r="G169" s="16"/>
    </row>
    <row r="170">
      <c r="C170" s="21"/>
      <c r="G170" s="16"/>
    </row>
    <row r="171">
      <c r="C171" s="21"/>
      <c r="G171" s="16"/>
    </row>
    <row r="172">
      <c r="C172" s="21"/>
      <c r="G172" s="16"/>
    </row>
    <row r="173">
      <c r="C173" s="21"/>
      <c r="G173" s="16"/>
    </row>
    <row r="174">
      <c r="C174" s="21"/>
      <c r="G174" s="16"/>
    </row>
    <row r="175">
      <c r="C175" s="21"/>
      <c r="G175" s="16"/>
    </row>
    <row r="176">
      <c r="C176" s="21"/>
      <c r="G176" s="16"/>
    </row>
    <row r="177">
      <c r="C177" s="21"/>
      <c r="G177" s="16"/>
    </row>
    <row r="178">
      <c r="C178" s="21"/>
      <c r="G178" s="16"/>
    </row>
    <row r="179">
      <c r="C179" s="21"/>
      <c r="G179" s="16"/>
    </row>
    <row r="180">
      <c r="C180" s="21"/>
      <c r="G180" s="16"/>
    </row>
    <row r="181">
      <c r="C181" s="21"/>
      <c r="G181" s="16"/>
    </row>
    <row r="182">
      <c r="C182" s="21"/>
      <c r="G182" s="16"/>
    </row>
    <row r="183">
      <c r="C183" s="21"/>
      <c r="G183" s="16"/>
    </row>
    <row r="184">
      <c r="C184" s="21"/>
      <c r="G184" s="16"/>
    </row>
    <row r="185">
      <c r="C185" s="21"/>
      <c r="G185" s="16"/>
    </row>
    <row r="186">
      <c r="C186" s="21"/>
      <c r="G186" s="16"/>
    </row>
    <row r="187">
      <c r="C187" s="21"/>
      <c r="G187" s="16"/>
    </row>
    <row r="188">
      <c r="C188" s="21"/>
      <c r="G188" s="16"/>
    </row>
    <row r="189">
      <c r="C189" s="21"/>
      <c r="G189" s="16"/>
    </row>
    <row r="190">
      <c r="C190" s="21"/>
      <c r="G190" s="16"/>
    </row>
    <row r="191">
      <c r="C191" s="21"/>
      <c r="G191" s="16"/>
    </row>
    <row r="192">
      <c r="C192" s="21"/>
      <c r="G192" s="16"/>
    </row>
    <row r="193">
      <c r="C193" s="21"/>
      <c r="G193" s="16"/>
    </row>
    <row r="194">
      <c r="C194" s="21"/>
      <c r="G194" s="16"/>
    </row>
    <row r="195">
      <c r="C195" s="21"/>
      <c r="G195" s="16"/>
    </row>
    <row r="196">
      <c r="C196" s="21"/>
      <c r="G196" s="16"/>
    </row>
    <row r="197">
      <c r="C197" s="21"/>
      <c r="G197" s="16"/>
    </row>
    <row r="198">
      <c r="C198" s="21"/>
      <c r="G198" s="16"/>
    </row>
    <row r="199">
      <c r="C199" s="21"/>
      <c r="G199" s="16"/>
    </row>
    <row r="200">
      <c r="C200" s="21"/>
      <c r="G200" s="16"/>
    </row>
    <row r="201">
      <c r="C201" s="21"/>
      <c r="G201" s="16"/>
    </row>
    <row r="202">
      <c r="C202" s="21"/>
      <c r="G202" s="16"/>
    </row>
    <row r="203">
      <c r="C203" s="21"/>
      <c r="G203" s="16"/>
    </row>
    <row r="204">
      <c r="C204" s="21"/>
      <c r="G204" s="16"/>
    </row>
    <row r="205">
      <c r="C205" s="21"/>
      <c r="G205" s="16"/>
    </row>
    <row r="206">
      <c r="C206" s="21"/>
      <c r="G206" s="16"/>
    </row>
    <row r="207">
      <c r="C207" s="21"/>
      <c r="G207" s="16"/>
    </row>
    <row r="208">
      <c r="C208" s="21"/>
      <c r="G208" s="16"/>
    </row>
    <row r="209">
      <c r="C209" s="21"/>
      <c r="G209" s="16"/>
    </row>
    <row r="210">
      <c r="C210" s="21"/>
      <c r="G210" s="16"/>
    </row>
    <row r="211">
      <c r="C211" s="21"/>
      <c r="G211" s="16"/>
    </row>
    <row r="212">
      <c r="C212" s="21"/>
      <c r="G212" s="16"/>
    </row>
    <row r="213">
      <c r="C213" s="21"/>
      <c r="G213" s="16"/>
    </row>
    <row r="214">
      <c r="C214" s="21"/>
      <c r="G214" s="16"/>
    </row>
    <row r="215">
      <c r="C215" s="21"/>
      <c r="G215" s="16"/>
    </row>
    <row r="216">
      <c r="C216" s="21"/>
      <c r="G216" s="16"/>
    </row>
    <row r="217">
      <c r="C217" s="21"/>
      <c r="G217" s="16"/>
    </row>
    <row r="218">
      <c r="C218" s="21"/>
      <c r="G218" s="16"/>
    </row>
    <row r="219">
      <c r="C219" s="21"/>
      <c r="G219" s="16"/>
    </row>
    <row r="220">
      <c r="C220" s="21"/>
      <c r="G220" s="16"/>
    </row>
    <row r="221">
      <c r="C221" s="21"/>
      <c r="G221" s="16"/>
    </row>
    <row r="222">
      <c r="C222" s="21"/>
      <c r="G222" s="16"/>
    </row>
    <row r="223">
      <c r="C223" s="21"/>
      <c r="G223" s="16"/>
    </row>
    <row r="224">
      <c r="C224" s="21"/>
      <c r="G224" s="16"/>
    </row>
    <row r="225">
      <c r="C225" s="21"/>
      <c r="G225" s="16"/>
    </row>
    <row r="226">
      <c r="C226" s="21"/>
      <c r="G226" s="16"/>
    </row>
    <row r="227">
      <c r="C227" s="21"/>
      <c r="G227" s="16"/>
    </row>
    <row r="228">
      <c r="C228" s="21"/>
      <c r="G228" s="16"/>
    </row>
    <row r="229">
      <c r="C229" s="21"/>
      <c r="G229" s="16"/>
    </row>
    <row r="230">
      <c r="C230" s="21"/>
      <c r="G230" s="16"/>
    </row>
    <row r="231">
      <c r="C231" s="21"/>
      <c r="G231" s="16"/>
    </row>
    <row r="232">
      <c r="C232" s="21"/>
      <c r="G232" s="16"/>
    </row>
    <row r="233">
      <c r="C233" s="21"/>
      <c r="G233" s="16"/>
    </row>
    <row r="234">
      <c r="C234" s="21"/>
      <c r="G234" s="16"/>
    </row>
    <row r="235">
      <c r="C235" s="21"/>
      <c r="G235" s="16"/>
    </row>
    <row r="236">
      <c r="C236" s="21"/>
      <c r="G236" s="16"/>
    </row>
    <row r="237">
      <c r="C237" s="21"/>
      <c r="G237" s="16"/>
    </row>
    <row r="238">
      <c r="C238" s="21"/>
      <c r="G238" s="16"/>
    </row>
    <row r="239">
      <c r="C239" s="21"/>
      <c r="G239" s="16"/>
    </row>
    <row r="240">
      <c r="C240" s="21"/>
      <c r="G240" s="16"/>
    </row>
    <row r="241">
      <c r="C241" s="21"/>
      <c r="G241" s="16"/>
    </row>
    <row r="242">
      <c r="C242" s="21"/>
      <c r="G242" s="16"/>
    </row>
    <row r="243">
      <c r="C243" s="21"/>
      <c r="G243" s="16"/>
    </row>
    <row r="244">
      <c r="C244" s="21"/>
      <c r="G244" s="16"/>
    </row>
    <row r="245">
      <c r="C245" s="21"/>
      <c r="G245" s="16"/>
    </row>
    <row r="246">
      <c r="C246" s="21"/>
      <c r="G246" s="16"/>
    </row>
    <row r="247">
      <c r="C247" s="21"/>
      <c r="G247" s="16"/>
    </row>
    <row r="248">
      <c r="C248" s="21"/>
      <c r="G248" s="16"/>
    </row>
    <row r="249">
      <c r="C249" s="21"/>
      <c r="G249" s="16"/>
    </row>
    <row r="250">
      <c r="C250" s="21"/>
      <c r="G250" s="16"/>
    </row>
    <row r="251">
      <c r="C251" s="21"/>
      <c r="G251" s="16"/>
    </row>
    <row r="252">
      <c r="C252" s="21"/>
      <c r="G252" s="16"/>
    </row>
    <row r="253">
      <c r="C253" s="21"/>
      <c r="G253" s="16"/>
    </row>
    <row r="254">
      <c r="C254" s="21"/>
      <c r="G254" s="16"/>
    </row>
    <row r="255">
      <c r="C255" s="21"/>
      <c r="G255" s="16"/>
    </row>
    <row r="256">
      <c r="C256" s="21"/>
      <c r="G256" s="16"/>
    </row>
    <row r="257">
      <c r="C257" s="21"/>
      <c r="G257" s="16"/>
    </row>
    <row r="258">
      <c r="C258" s="21"/>
      <c r="G258" s="16"/>
    </row>
    <row r="259">
      <c r="C259" s="21"/>
      <c r="G259" s="16"/>
    </row>
    <row r="260">
      <c r="C260" s="21"/>
      <c r="G260" s="16"/>
    </row>
    <row r="261">
      <c r="C261" s="21"/>
      <c r="G261" s="16"/>
    </row>
    <row r="262">
      <c r="C262" s="21"/>
      <c r="G262" s="16"/>
    </row>
    <row r="263">
      <c r="C263" s="21"/>
      <c r="G263" s="16"/>
    </row>
    <row r="264">
      <c r="C264" s="21"/>
      <c r="G264" s="16"/>
    </row>
    <row r="265">
      <c r="C265" s="21"/>
      <c r="G265" s="16"/>
    </row>
    <row r="266">
      <c r="C266" s="21"/>
      <c r="G266" s="16"/>
    </row>
    <row r="267">
      <c r="C267" s="21"/>
      <c r="G267" s="16"/>
    </row>
    <row r="268">
      <c r="C268" s="21"/>
      <c r="G268" s="16"/>
    </row>
    <row r="269">
      <c r="C269" s="21"/>
      <c r="G269" s="16"/>
    </row>
    <row r="270">
      <c r="C270" s="21"/>
      <c r="G270" s="16"/>
    </row>
    <row r="271">
      <c r="C271" s="21"/>
      <c r="G271" s="16"/>
    </row>
    <row r="272">
      <c r="C272" s="21"/>
      <c r="G272" s="16"/>
    </row>
    <row r="273">
      <c r="C273" s="21"/>
      <c r="G273" s="16"/>
    </row>
    <row r="274">
      <c r="C274" s="21"/>
      <c r="G274" s="16"/>
    </row>
    <row r="275">
      <c r="C275" s="21"/>
      <c r="G275" s="16"/>
    </row>
    <row r="276">
      <c r="C276" s="21"/>
      <c r="G276" s="16"/>
    </row>
    <row r="277">
      <c r="C277" s="21"/>
      <c r="G277" s="16"/>
    </row>
    <row r="278">
      <c r="C278" s="21"/>
      <c r="G278" s="16"/>
    </row>
    <row r="279">
      <c r="C279" s="21"/>
      <c r="G279" s="16"/>
    </row>
    <row r="280">
      <c r="C280" s="21"/>
      <c r="G280" s="16"/>
    </row>
    <row r="281">
      <c r="C281" s="21"/>
      <c r="G281" s="16"/>
    </row>
    <row r="282">
      <c r="C282" s="21"/>
      <c r="G282" s="16"/>
    </row>
    <row r="283">
      <c r="C283" s="21"/>
      <c r="G283" s="16"/>
    </row>
    <row r="284">
      <c r="C284" s="21"/>
      <c r="G284" s="16"/>
    </row>
    <row r="285">
      <c r="C285" s="21"/>
      <c r="G285" s="16"/>
    </row>
    <row r="286">
      <c r="C286" s="21"/>
      <c r="G286" s="16"/>
    </row>
    <row r="287">
      <c r="C287" s="21"/>
      <c r="G287" s="16"/>
    </row>
    <row r="288">
      <c r="C288" s="21"/>
      <c r="G288" s="16"/>
    </row>
    <row r="289">
      <c r="C289" s="21"/>
      <c r="G289" s="16"/>
    </row>
    <row r="290">
      <c r="C290" s="21"/>
      <c r="G290" s="16"/>
    </row>
    <row r="291">
      <c r="C291" s="21"/>
      <c r="G291" s="16"/>
    </row>
    <row r="292">
      <c r="C292" s="21"/>
      <c r="G292" s="16"/>
    </row>
    <row r="293">
      <c r="C293" s="21"/>
      <c r="G293" s="16"/>
    </row>
    <row r="294">
      <c r="C294" s="21"/>
      <c r="G294" s="16"/>
    </row>
    <row r="295">
      <c r="C295" s="21"/>
      <c r="G295" s="16"/>
    </row>
    <row r="296">
      <c r="C296" s="21"/>
      <c r="G296" s="16"/>
    </row>
    <row r="297">
      <c r="C297" s="21"/>
      <c r="G297" s="16"/>
    </row>
    <row r="298">
      <c r="C298" s="21"/>
      <c r="G298" s="16"/>
    </row>
    <row r="299">
      <c r="C299" s="21"/>
      <c r="G299" s="16"/>
    </row>
    <row r="300">
      <c r="C300" s="21"/>
      <c r="G300" s="16"/>
    </row>
    <row r="301">
      <c r="C301" s="21"/>
      <c r="G301" s="16"/>
    </row>
    <row r="302">
      <c r="C302" s="21"/>
      <c r="G302" s="16"/>
    </row>
    <row r="303">
      <c r="C303" s="21"/>
      <c r="G303" s="16"/>
    </row>
    <row r="304">
      <c r="C304" s="21"/>
      <c r="G304" s="16"/>
    </row>
    <row r="305">
      <c r="C305" s="21"/>
      <c r="G305" s="16"/>
    </row>
    <row r="306">
      <c r="C306" s="21"/>
      <c r="G306" s="16"/>
    </row>
    <row r="307">
      <c r="C307" s="21"/>
      <c r="G307" s="16"/>
    </row>
    <row r="308">
      <c r="C308" s="21"/>
      <c r="G308" s="16"/>
    </row>
    <row r="309">
      <c r="C309" s="21"/>
      <c r="G309" s="16"/>
    </row>
    <row r="310">
      <c r="C310" s="21"/>
      <c r="G310" s="16"/>
    </row>
    <row r="311">
      <c r="C311" s="21"/>
      <c r="G311" s="16"/>
    </row>
    <row r="312">
      <c r="C312" s="21"/>
      <c r="G312" s="16"/>
    </row>
    <row r="313">
      <c r="C313" s="21"/>
      <c r="G313" s="16"/>
    </row>
    <row r="314">
      <c r="C314" s="21"/>
      <c r="G314" s="16"/>
    </row>
    <row r="315">
      <c r="C315" s="21"/>
      <c r="G315" s="16"/>
    </row>
    <row r="316">
      <c r="C316" s="21"/>
      <c r="G316" s="16"/>
    </row>
    <row r="317">
      <c r="C317" s="21"/>
      <c r="G317" s="16"/>
    </row>
    <row r="318">
      <c r="C318" s="21"/>
      <c r="G318" s="16"/>
    </row>
    <row r="319">
      <c r="C319" s="21"/>
      <c r="G319" s="16"/>
    </row>
    <row r="320">
      <c r="C320" s="21"/>
      <c r="G320" s="16"/>
    </row>
    <row r="321">
      <c r="C321" s="21"/>
      <c r="G321" s="16"/>
    </row>
    <row r="322">
      <c r="C322" s="21"/>
      <c r="G322" s="16"/>
    </row>
    <row r="323">
      <c r="C323" s="21"/>
      <c r="G323" s="16"/>
    </row>
    <row r="324">
      <c r="C324" s="21"/>
      <c r="G324" s="16"/>
    </row>
    <row r="325">
      <c r="C325" s="21"/>
      <c r="G325" s="16"/>
    </row>
    <row r="326">
      <c r="C326" s="21"/>
      <c r="G326" s="16"/>
    </row>
    <row r="327">
      <c r="C327" s="21"/>
      <c r="G327" s="16"/>
    </row>
    <row r="328">
      <c r="C328" s="21"/>
      <c r="G328" s="16"/>
    </row>
    <row r="329">
      <c r="C329" s="21"/>
      <c r="G329" s="16"/>
    </row>
    <row r="330">
      <c r="C330" s="21"/>
      <c r="G330" s="16"/>
    </row>
    <row r="331">
      <c r="C331" s="21"/>
      <c r="G331" s="16"/>
    </row>
    <row r="332">
      <c r="C332" s="21"/>
      <c r="G332" s="16"/>
    </row>
    <row r="333">
      <c r="C333" s="21"/>
      <c r="G333" s="16"/>
    </row>
    <row r="334">
      <c r="C334" s="21"/>
      <c r="G334" s="16"/>
    </row>
    <row r="335">
      <c r="C335" s="21"/>
      <c r="G335" s="16"/>
    </row>
    <row r="336">
      <c r="C336" s="21"/>
      <c r="G336" s="16"/>
    </row>
    <row r="337">
      <c r="C337" s="21"/>
      <c r="G337" s="16"/>
    </row>
    <row r="338">
      <c r="C338" s="21"/>
      <c r="G338" s="16"/>
    </row>
    <row r="339">
      <c r="C339" s="21"/>
      <c r="G339" s="16"/>
    </row>
    <row r="340">
      <c r="C340" s="21"/>
      <c r="G340" s="16"/>
    </row>
    <row r="341">
      <c r="C341" s="21"/>
      <c r="G341" s="16"/>
    </row>
    <row r="342">
      <c r="C342" s="21"/>
      <c r="G342" s="16"/>
    </row>
    <row r="343">
      <c r="C343" s="21"/>
      <c r="G343" s="16"/>
    </row>
    <row r="344">
      <c r="C344" s="21"/>
      <c r="G344" s="16"/>
    </row>
    <row r="345">
      <c r="C345" s="21"/>
      <c r="G345" s="16"/>
    </row>
    <row r="346">
      <c r="C346" s="21"/>
      <c r="G346" s="16"/>
    </row>
    <row r="347">
      <c r="C347" s="21"/>
      <c r="G347" s="16"/>
    </row>
    <row r="348">
      <c r="C348" s="21"/>
      <c r="G348" s="16"/>
    </row>
    <row r="349">
      <c r="C349" s="21"/>
      <c r="G349" s="16"/>
    </row>
    <row r="350">
      <c r="C350" s="21"/>
      <c r="G350" s="16"/>
    </row>
    <row r="351">
      <c r="C351" s="21"/>
      <c r="G351" s="16"/>
    </row>
    <row r="352">
      <c r="C352" s="21"/>
      <c r="G352" s="16"/>
    </row>
    <row r="353">
      <c r="C353" s="21"/>
      <c r="G353" s="16"/>
    </row>
    <row r="354">
      <c r="C354" s="21"/>
      <c r="G354" s="16"/>
    </row>
    <row r="355">
      <c r="C355" s="21"/>
      <c r="G355" s="16"/>
    </row>
    <row r="356">
      <c r="C356" s="21"/>
      <c r="G356" s="16"/>
    </row>
    <row r="357">
      <c r="C357" s="21"/>
      <c r="G357" s="16"/>
    </row>
    <row r="358">
      <c r="C358" s="21"/>
      <c r="G358" s="16"/>
    </row>
    <row r="359">
      <c r="C359" s="21"/>
      <c r="G359" s="16"/>
    </row>
    <row r="360">
      <c r="C360" s="21"/>
      <c r="G360" s="16"/>
    </row>
    <row r="361">
      <c r="C361" s="21"/>
      <c r="G361" s="16"/>
    </row>
    <row r="362">
      <c r="C362" s="21"/>
      <c r="G362" s="16"/>
    </row>
    <row r="363">
      <c r="C363" s="21"/>
      <c r="G363" s="16"/>
    </row>
    <row r="364">
      <c r="C364" s="21"/>
      <c r="G364" s="16"/>
    </row>
    <row r="365">
      <c r="C365" s="21"/>
      <c r="G365" s="16"/>
    </row>
    <row r="366">
      <c r="C366" s="21"/>
      <c r="G366" s="16"/>
    </row>
    <row r="367">
      <c r="C367" s="21"/>
      <c r="G367" s="16"/>
    </row>
    <row r="368">
      <c r="C368" s="21"/>
      <c r="G368" s="16"/>
    </row>
    <row r="369">
      <c r="C369" s="21"/>
      <c r="G369" s="16"/>
    </row>
    <row r="370">
      <c r="C370" s="21"/>
      <c r="G370" s="16"/>
    </row>
    <row r="371">
      <c r="C371" s="21"/>
      <c r="G371" s="16"/>
    </row>
    <row r="372">
      <c r="C372" s="21"/>
      <c r="G372" s="16"/>
    </row>
    <row r="373">
      <c r="C373" s="21"/>
      <c r="G373" s="16"/>
    </row>
    <row r="374">
      <c r="C374" s="21"/>
      <c r="G374" s="16"/>
    </row>
    <row r="375">
      <c r="C375" s="21"/>
      <c r="G375" s="16"/>
    </row>
    <row r="376">
      <c r="C376" s="21"/>
      <c r="G376" s="16"/>
    </row>
    <row r="377">
      <c r="C377" s="21"/>
      <c r="G377" s="16"/>
    </row>
    <row r="378">
      <c r="C378" s="21"/>
      <c r="G378" s="16"/>
    </row>
    <row r="379">
      <c r="C379" s="21"/>
      <c r="G379" s="16"/>
    </row>
    <row r="380">
      <c r="C380" s="21"/>
      <c r="G380" s="16"/>
    </row>
    <row r="381">
      <c r="C381" s="21"/>
      <c r="G381" s="16"/>
    </row>
    <row r="382">
      <c r="C382" s="21"/>
      <c r="G382" s="16"/>
    </row>
    <row r="383">
      <c r="C383" s="21"/>
      <c r="G383" s="16"/>
    </row>
    <row r="384">
      <c r="C384" s="21"/>
      <c r="G384" s="16"/>
    </row>
    <row r="385">
      <c r="C385" s="21"/>
      <c r="G385" s="16"/>
    </row>
    <row r="386">
      <c r="C386" s="21"/>
      <c r="G386" s="16"/>
    </row>
    <row r="387">
      <c r="C387" s="21"/>
      <c r="G387" s="16"/>
    </row>
    <row r="388">
      <c r="C388" s="21"/>
      <c r="G388" s="16"/>
    </row>
    <row r="389">
      <c r="C389" s="21"/>
      <c r="G389" s="16"/>
    </row>
    <row r="390">
      <c r="C390" s="21"/>
      <c r="G390" s="16"/>
    </row>
    <row r="391">
      <c r="C391" s="21"/>
      <c r="G391" s="16"/>
    </row>
    <row r="392">
      <c r="C392" s="21"/>
      <c r="G392" s="16"/>
    </row>
    <row r="393">
      <c r="C393" s="21"/>
      <c r="G393" s="16"/>
    </row>
    <row r="394">
      <c r="C394" s="21"/>
      <c r="G394" s="16"/>
    </row>
    <row r="395">
      <c r="C395" s="21"/>
      <c r="G395" s="16"/>
    </row>
    <row r="396">
      <c r="C396" s="21"/>
      <c r="G396" s="16"/>
    </row>
    <row r="397">
      <c r="C397" s="21"/>
      <c r="G397" s="16"/>
    </row>
    <row r="398">
      <c r="C398" s="21"/>
      <c r="G398" s="16"/>
    </row>
    <row r="399">
      <c r="C399" s="21"/>
      <c r="G399" s="16"/>
    </row>
    <row r="400">
      <c r="C400" s="21"/>
      <c r="G400" s="16"/>
    </row>
    <row r="401">
      <c r="C401" s="21"/>
      <c r="G401" s="16"/>
    </row>
    <row r="402">
      <c r="C402" s="21"/>
      <c r="G402" s="16"/>
    </row>
    <row r="403">
      <c r="C403" s="21"/>
      <c r="G403" s="16"/>
    </row>
    <row r="404">
      <c r="C404" s="21"/>
      <c r="G404" s="16"/>
    </row>
    <row r="405">
      <c r="C405" s="21"/>
      <c r="G405" s="16"/>
    </row>
    <row r="406">
      <c r="C406" s="21"/>
      <c r="G406" s="16"/>
    </row>
    <row r="407">
      <c r="C407" s="21"/>
      <c r="G407" s="16"/>
    </row>
    <row r="408">
      <c r="C408" s="21"/>
      <c r="G408" s="16"/>
    </row>
    <row r="409">
      <c r="C409" s="21"/>
      <c r="G409" s="16"/>
    </row>
    <row r="410">
      <c r="C410" s="21"/>
      <c r="G410" s="16"/>
    </row>
    <row r="411">
      <c r="C411" s="21"/>
      <c r="G411" s="16"/>
    </row>
    <row r="412">
      <c r="C412" s="21"/>
      <c r="G412" s="16"/>
    </row>
    <row r="413">
      <c r="C413" s="21"/>
      <c r="G413" s="16"/>
    </row>
    <row r="414">
      <c r="C414" s="21"/>
      <c r="G414" s="16"/>
    </row>
    <row r="415">
      <c r="C415" s="21"/>
      <c r="G415" s="16"/>
    </row>
    <row r="416">
      <c r="C416" s="21"/>
      <c r="G416" s="16"/>
    </row>
    <row r="417">
      <c r="C417" s="21"/>
      <c r="G417" s="16"/>
    </row>
    <row r="418">
      <c r="C418" s="21"/>
      <c r="G418" s="16"/>
    </row>
    <row r="419">
      <c r="C419" s="21"/>
      <c r="G419" s="16"/>
    </row>
    <row r="420">
      <c r="C420" s="21"/>
      <c r="G420" s="16"/>
    </row>
    <row r="421">
      <c r="C421" s="21"/>
      <c r="G421" s="16"/>
    </row>
    <row r="422">
      <c r="C422" s="21"/>
      <c r="G422" s="16"/>
    </row>
    <row r="423">
      <c r="C423" s="21"/>
      <c r="G423" s="16"/>
    </row>
    <row r="424">
      <c r="C424" s="21"/>
      <c r="G424" s="16"/>
    </row>
    <row r="425">
      <c r="C425" s="21"/>
      <c r="G425" s="16"/>
    </row>
    <row r="426">
      <c r="C426" s="21"/>
      <c r="G426" s="16"/>
    </row>
    <row r="427">
      <c r="C427" s="21"/>
      <c r="G427" s="16"/>
    </row>
    <row r="428">
      <c r="C428" s="21"/>
      <c r="G428" s="16"/>
    </row>
    <row r="429">
      <c r="C429" s="21"/>
      <c r="G429" s="16"/>
    </row>
    <row r="430">
      <c r="C430" s="21"/>
      <c r="G430" s="16"/>
    </row>
    <row r="431">
      <c r="C431" s="21"/>
      <c r="G431" s="16"/>
    </row>
    <row r="432">
      <c r="C432" s="21"/>
      <c r="G432" s="16"/>
    </row>
    <row r="433">
      <c r="C433" s="21"/>
      <c r="G433" s="16"/>
    </row>
    <row r="434">
      <c r="C434" s="21"/>
      <c r="G434" s="16"/>
    </row>
    <row r="435">
      <c r="C435" s="21"/>
      <c r="G435" s="16"/>
    </row>
    <row r="436">
      <c r="C436" s="21"/>
      <c r="G436" s="16"/>
    </row>
    <row r="437">
      <c r="C437" s="21"/>
      <c r="G437" s="16"/>
    </row>
    <row r="438">
      <c r="C438" s="21"/>
      <c r="G438" s="16"/>
    </row>
    <row r="439">
      <c r="C439" s="21"/>
      <c r="G439" s="16"/>
    </row>
    <row r="440">
      <c r="C440" s="21"/>
      <c r="G440" s="16"/>
    </row>
    <row r="441">
      <c r="C441" s="21"/>
      <c r="G441" s="16"/>
    </row>
    <row r="442">
      <c r="C442" s="21"/>
      <c r="G442" s="16"/>
    </row>
    <row r="443">
      <c r="C443" s="21"/>
      <c r="G443" s="16"/>
    </row>
    <row r="444">
      <c r="C444" s="21"/>
      <c r="G444" s="16"/>
    </row>
    <row r="445">
      <c r="C445" s="21"/>
      <c r="G445" s="16"/>
    </row>
    <row r="446">
      <c r="C446" s="21"/>
      <c r="G446" s="16"/>
    </row>
    <row r="447">
      <c r="C447" s="21"/>
      <c r="G447" s="16"/>
    </row>
    <row r="448">
      <c r="C448" s="21"/>
      <c r="G448" s="16"/>
    </row>
    <row r="449">
      <c r="C449" s="21"/>
      <c r="G449" s="16"/>
    </row>
    <row r="450">
      <c r="C450" s="21"/>
      <c r="G450" s="16"/>
    </row>
    <row r="451">
      <c r="C451" s="21"/>
      <c r="G451" s="16"/>
    </row>
    <row r="452">
      <c r="C452" s="21"/>
      <c r="G452" s="16"/>
    </row>
    <row r="453">
      <c r="C453" s="21"/>
      <c r="G453" s="16"/>
    </row>
    <row r="454">
      <c r="C454" s="21"/>
      <c r="G454" s="16"/>
    </row>
    <row r="455">
      <c r="C455" s="21"/>
      <c r="G455" s="16"/>
    </row>
    <row r="456">
      <c r="C456" s="21"/>
      <c r="G456" s="16"/>
    </row>
    <row r="457">
      <c r="C457" s="21"/>
      <c r="G457" s="16"/>
    </row>
    <row r="458">
      <c r="C458" s="21"/>
      <c r="G458" s="16"/>
    </row>
    <row r="459">
      <c r="C459" s="21"/>
      <c r="G459" s="16"/>
    </row>
    <row r="460">
      <c r="C460" s="21"/>
      <c r="G460" s="16"/>
    </row>
    <row r="461">
      <c r="C461" s="21"/>
      <c r="G461" s="16"/>
    </row>
    <row r="462">
      <c r="C462" s="21"/>
      <c r="G462" s="16"/>
    </row>
    <row r="463">
      <c r="C463" s="21"/>
      <c r="G463" s="16"/>
    </row>
    <row r="464">
      <c r="C464" s="21"/>
      <c r="G464" s="16"/>
    </row>
    <row r="465">
      <c r="C465" s="21"/>
      <c r="G465" s="16"/>
    </row>
    <row r="466">
      <c r="C466" s="21"/>
      <c r="G466" s="16"/>
    </row>
    <row r="467">
      <c r="C467" s="21"/>
      <c r="G467" s="16"/>
    </row>
    <row r="468">
      <c r="C468" s="21"/>
      <c r="G468" s="16"/>
    </row>
    <row r="469">
      <c r="C469" s="21"/>
      <c r="G469" s="16"/>
    </row>
    <row r="470">
      <c r="C470" s="21"/>
      <c r="G470" s="16"/>
    </row>
    <row r="471">
      <c r="C471" s="21"/>
      <c r="G471" s="16"/>
    </row>
    <row r="472">
      <c r="C472" s="21"/>
      <c r="G472" s="16"/>
    </row>
    <row r="473">
      <c r="C473" s="21"/>
      <c r="G473" s="16"/>
    </row>
    <row r="474">
      <c r="C474" s="21"/>
      <c r="G474" s="16"/>
    </row>
    <row r="475">
      <c r="C475" s="21"/>
      <c r="G475" s="16"/>
    </row>
    <row r="476">
      <c r="C476" s="21"/>
      <c r="G476" s="16"/>
    </row>
    <row r="477">
      <c r="C477" s="21"/>
      <c r="G477" s="16"/>
    </row>
    <row r="478">
      <c r="C478" s="21"/>
      <c r="G478" s="16"/>
    </row>
    <row r="479">
      <c r="C479" s="21"/>
      <c r="G479" s="16"/>
    </row>
    <row r="480">
      <c r="C480" s="21"/>
      <c r="G480" s="16"/>
    </row>
    <row r="481">
      <c r="C481" s="21"/>
      <c r="G481" s="16"/>
    </row>
    <row r="482">
      <c r="C482" s="21"/>
      <c r="G482" s="16"/>
    </row>
    <row r="483">
      <c r="C483" s="21"/>
      <c r="G483" s="16"/>
    </row>
    <row r="484">
      <c r="C484" s="21"/>
      <c r="G484" s="16"/>
    </row>
    <row r="485">
      <c r="C485" s="21"/>
      <c r="G485" s="16"/>
    </row>
    <row r="486">
      <c r="C486" s="21"/>
      <c r="G486" s="16"/>
    </row>
    <row r="487">
      <c r="C487" s="21"/>
      <c r="G487" s="16"/>
    </row>
    <row r="488">
      <c r="C488" s="21"/>
      <c r="G488" s="16"/>
    </row>
    <row r="489">
      <c r="C489" s="21"/>
      <c r="G489" s="16"/>
    </row>
    <row r="490">
      <c r="C490" s="21"/>
      <c r="G490" s="16"/>
    </row>
    <row r="491">
      <c r="C491" s="21"/>
      <c r="G491" s="16"/>
    </row>
    <row r="492">
      <c r="C492" s="21"/>
      <c r="G492" s="16"/>
    </row>
    <row r="493">
      <c r="C493" s="21"/>
      <c r="G493" s="16"/>
    </row>
    <row r="494">
      <c r="C494" s="21"/>
      <c r="G494" s="16"/>
    </row>
    <row r="495">
      <c r="C495" s="21"/>
      <c r="G495" s="16"/>
    </row>
    <row r="496">
      <c r="C496" s="21"/>
      <c r="G496" s="16"/>
    </row>
    <row r="497">
      <c r="C497" s="21"/>
      <c r="G497" s="16"/>
    </row>
    <row r="498">
      <c r="C498" s="21"/>
      <c r="G498" s="16"/>
    </row>
    <row r="499">
      <c r="C499" s="21"/>
      <c r="G499" s="16"/>
    </row>
    <row r="500">
      <c r="C500" s="21"/>
      <c r="G500" s="16"/>
    </row>
    <row r="501">
      <c r="C501" s="21"/>
      <c r="G501" s="16"/>
    </row>
    <row r="502">
      <c r="C502" s="21"/>
      <c r="G502" s="16"/>
    </row>
    <row r="503">
      <c r="C503" s="21"/>
      <c r="G503" s="16"/>
    </row>
    <row r="504">
      <c r="C504" s="21"/>
      <c r="G504" s="16"/>
    </row>
    <row r="505">
      <c r="C505" s="21"/>
      <c r="G505" s="16"/>
    </row>
    <row r="506">
      <c r="C506" s="21"/>
      <c r="G506" s="16"/>
    </row>
    <row r="507">
      <c r="C507" s="21"/>
      <c r="G507" s="16"/>
    </row>
    <row r="508">
      <c r="C508" s="21"/>
      <c r="G508" s="16"/>
    </row>
    <row r="509">
      <c r="C509" s="21"/>
      <c r="G509" s="16"/>
    </row>
    <row r="510">
      <c r="C510" s="21"/>
      <c r="G510" s="16"/>
    </row>
    <row r="511">
      <c r="C511" s="21"/>
      <c r="G511" s="16"/>
    </row>
    <row r="512">
      <c r="C512" s="21"/>
      <c r="G512" s="16"/>
    </row>
    <row r="513">
      <c r="C513" s="21"/>
      <c r="G513" s="16"/>
    </row>
    <row r="514">
      <c r="C514" s="21"/>
      <c r="G514" s="16"/>
    </row>
    <row r="515">
      <c r="C515" s="21"/>
      <c r="G515" s="16"/>
    </row>
    <row r="516">
      <c r="C516" s="21"/>
      <c r="G516" s="16"/>
    </row>
    <row r="517">
      <c r="C517" s="21"/>
      <c r="G517" s="16"/>
    </row>
    <row r="518">
      <c r="C518" s="21"/>
      <c r="G518" s="16"/>
    </row>
    <row r="519">
      <c r="C519" s="21"/>
      <c r="G519" s="16"/>
    </row>
    <row r="520">
      <c r="C520" s="21"/>
      <c r="G520" s="16"/>
    </row>
    <row r="521">
      <c r="C521" s="21"/>
      <c r="G521" s="16"/>
    </row>
    <row r="522">
      <c r="C522" s="21"/>
      <c r="G522" s="16"/>
    </row>
    <row r="523">
      <c r="C523" s="21"/>
      <c r="G523" s="16"/>
    </row>
    <row r="524">
      <c r="C524" s="21"/>
      <c r="G524" s="16"/>
    </row>
    <row r="525">
      <c r="C525" s="21"/>
      <c r="G525" s="16"/>
    </row>
    <row r="526">
      <c r="C526" s="21"/>
      <c r="G526" s="16"/>
    </row>
    <row r="527">
      <c r="C527" s="21"/>
      <c r="G527" s="16"/>
    </row>
    <row r="528">
      <c r="C528" s="21"/>
      <c r="G528" s="16"/>
    </row>
    <row r="529">
      <c r="C529" s="21"/>
      <c r="G529" s="16"/>
    </row>
    <row r="530">
      <c r="C530" s="21"/>
      <c r="G530" s="16"/>
    </row>
    <row r="531">
      <c r="C531" s="21"/>
      <c r="G531" s="16"/>
    </row>
    <row r="532">
      <c r="C532" s="21"/>
      <c r="G532" s="16"/>
    </row>
    <row r="533">
      <c r="C533" s="21"/>
      <c r="G533" s="16"/>
    </row>
    <row r="534">
      <c r="C534" s="21"/>
      <c r="G534" s="16"/>
    </row>
    <row r="535">
      <c r="C535" s="21"/>
      <c r="G535" s="16"/>
    </row>
    <row r="536">
      <c r="C536" s="21"/>
      <c r="G536" s="16"/>
    </row>
    <row r="537">
      <c r="C537" s="21"/>
      <c r="G537" s="16"/>
    </row>
    <row r="538">
      <c r="C538" s="21"/>
      <c r="G538" s="16"/>
    </row>
    <row r="539">
      <c r="C539" s="21"/>
      <c r="G539" s="16"/>
    </row>
    <row r="540">
      <c r="C540" s="21"/>
      <c r="G540" s="16"/>
    </row>
    <row r="541">
      <c r="C541" s="21"/>
      <c r="G541" s="16"/>
    </row>
    <row r="542">
      <c r="C542" s="21"/>
      <c r="G542" s="16"/>
    </row>
    <row r="543">
      <c r="C543" s="21"/>
      <c r="G543" s="16"/>
    </row>
    <row r="544">
      <c r="C544" s="21"/>
      <c r="G544" s="16"/>
    </row>
    <row r="545">
      <c r="C545" s="21"/>
      <c r="G545" s="16"/>
    </row>
    <row r="546">
      <c r="C546" s="21"/>
      <c r="G546" s="16"/>
    </row>
    <row r="547">
      <c r="C547" s="21"/>
      <c r="G547" s="16"/>
    </row>
    <row r="548">
      <c r="C548" s="21"/>
      <c r="G548" s="16"/>
    </row>
    <row r="549">
      <c r="C549" s="21"/>
      <c r="G549" s="16"/>
    </row>
    <row r="550">
      <c r="C550" s="21"/>
      <c r="G550" s="16"/>
    </row>
    <row r="551">
      <c r="C551" s="21"/>
      <c r="G551" s="16"/>
    </row>
    <row r="552">
      <c r="C552" s="21"/>
      <c r="G552" s="16"/>
    </row>
    <row r="553">
      <c r="C553" s="21"/>
      <c r="G553" s="16"/>
    </row>
    <row r="554">
      <c r="C554" s="21"/>
      <c r="G554" s="16"/>
    </row>
    <row r="555">
      <c r="C555" s="21"/>
      <c r="G555" s="16"/>
    </row>
    <row r="556">
      <c r="C556" s="21"/>
      <c r="G556" s="16"/>
    </row>
    <row r="557">
      <c r="C557" s="21"/>
      <c r="G557" s="16"/>
    </row>
    <row r="558">
      <c r="C558" s="21"/>
      <c r="G558" s="16"/>
    </row>
    <row r="559">
      <c r="C559" s="21"/>
      <c r="G559" s="16"/>
    </row>
    <row r="560">
      <c r="C560" s="21"/>
      <c r="G560" s="16"/>
    </row>
    <row r="561">
      <c r="C561" s="21"/>
      <c r="G561" s="16"/>
    </row>
    <row r="562">
      <c r="C562" s="21"/>
      <c r="G562" s="16"/>
    </row>
    <row r="563">
      <c r="C563" s="21"/>
      <c r="G563" s="16"/>
    </row>
    <row r="564">
      <c r="C564" s="21"/>
      <c r="G564" s="16"/>
    </row>
    <row r="565">
      <c r="C565" s="21"/>
      <c r="G565" s="16"/>
    </row>
    <row r="566">
      <c r="C566" s="21"/>
      <c r="G566" s="16"/>
    </row>
    <row r="567">
      <c r="C567" s="21"/>
      <c r="G567" s="16"/>
    </row>
    <row r="568">
      <c r="C568" s="21"/>
      <c r="G568" s="16"/>
    </row>
    <row r="569">
      <c r="C569" s="21"/>
      <c r="G569" s="16"/>
    </row>
    <row r="570">
      <c r="C570" s="21"/>
      <c r="G570" s="16"/>
    </row>
    <row r="571">
      <c r="C571" s="21"/>
      <c r="G571" s="16"/>
    </row>
    <row r="572">
      <c r="C572" s="21"/>
      <c r="G572" s="16"/>
    </row>
    <row r="573">
      <c r="C573" s="21"/>
      <c r="G573" s="16"/>
    </row>
    <row r="574">
      <c r="C574" s="21"/>
      <c r="G574" s="16"/>
    </row>
    <row r="575">
      <c r="C575" s="21"/>
      <c r="G575" s="16"/>
    </row>
    <row r="576">
      <c r="C576" s="21"/>
      <c r="G576" s="16"/>
    </row>
    <row r="577">
      <c r="C577" s="21"/>
      <c r="G577" s="16"/>
    </row>
    <row r="578">
      <c r="C578" s="21"/>
      <c r="G578" s="16"/>
    </row>
    <row r="579">
      <c r="C579" s="21"/>
      <c r="G579" s="16"/>
    </row>
    <row r="580">
      <c r="C580" s="21"/>
      <c r="G580" s="16"/>
    </row>
    <row r="581">
      <c r="C581" s="21"/>
      <c r="G581" s="16"/>
    </row>
    <row r="582">
      <c r="C582" s="21"/>
      <c r="G582" s="16"/>
    </row>
    <row r="583">
      <c r="C583" s="21"/>
      <c r="G583" s="16"/>
    </row>
    <row r="584">
      <c r="C584" s="21"/>
      <c r="G584" s="16"/>
    </row>
    <row r="585">
      <c r="C585" s="21"/>
      <c r="G585" s="16"/>
    </row>
    <row r="586">
      <c r="C586" s="21"/>
      <c r="G586" s="16"/>
    </row>
    <row r="587">
      <c r="C587" s="21"/>
      <c r="G587" s="16"/>
    </row>
    <row r="588">
      <c r="C588" s="21"/>
      <c r="G588" s="16"/>
    </row>
    <row r="589">
      <c r="C589" s="21"/>
      <c r="G589" s="16"/>
    </row>
    <row r="590">
      <c r="C590" s="21"/>
      <c r="G590" s="16"/>
    </row>
    <row r="591">
      <c r="C591" s="21"/>
      <c r="G591" s="16"/>
    </row>
    <row r="592">
      <c r="C592" s="21"/>
      <c r="G592" s="16"/>
    </row>
    <row r="593">
      <c r="C593" s="21"/>
      <c r="G593" s="16"/>
    </row>
    <row r="594">
      <c r="C594" s="21"/>
      <c r="G594" s="16"/>
    </row>
    <row r="595">
      <c r="C595" s="21"/>
      <c r="G595" s="16"/>
    </row>
    <row r="596">
      <c r="C596" s="21"/>
      <c r="G596" s="16"/>
    </row>
    <row r="597">
      <c r="C597" s="21"/>
      <c r="G597" s="16"/>
    </row>
    <row r="598">
      <c r="C598" s="21"/>
      <c r="G598" s="16"/>
    </row>
    <row r="599">
      <c r="C599" s="21"/>
      <c r="G599" s="16"/>
    </row>
    <row r="600">
      <c r="C600" s="21"/>
      <c r="G600" s="16"/>
    </row>
    <row r="601">
      <c r="C601" s="21"/>
      <c r="G601" s="16"/>
    </row>
    <row r="602">
      <c r="C602" s="21"/>
      <c r="G602" s="16"/>
    </row>
    <row r="603">
      <c r="C603" s="21"/>
      <c r="G603" s="16"/>
    </row>
    <row r="604">
      <c r="C604" s="21"/>
      <c r="G604" s="16"/>
    </row>
    <row r="605">
      <c r="C605" s="21"/>
      <c r="G605" s="16"/>
    </row>
    <row r="606">
      <c r="C606" s="21"/>
      <c r="G606" s="16"/>
    </row>
    <row r="607">
      <c r="C607" s="21"/>
      <c r="G607" s="16"/>
    </row>
    <row r="608">
      <c r="C608" s="21"/>
      <c r="G608" s="16"/>
    </row>
    <row r="609">
      <c r="C609" s="21"/>
      <c r="G609" s="16"/>
    </row>
    <row r="610">
      <c r="C610" s="21"/>
      <c r="G610" s="16"/>
    </row>
    <row r="611">
      <c r="C611" s="21"/>
      <c r="G611" s="16"/>
    </row>
    <row r="612">
      <c r="C612" s="21"/>
      <c r="G612" s="16"/>
    </row>
    <row r="613">
      <c r="C613" s="21"/>
      <c r="G613" s="16"/>
    </row>
    <row r="614">
      <c r="C614" s="21"/>
      <c r="G614" s="16"/>
    </row>
    <row r="615">
      <c r="C615" s="21"/>
      <c r="G615" s="16"/>
    </row>
    <row r="616">
      <c r="C616" s="21"/>
      <c r="G616" s="16"/>
    </row>
    <row r="617">
      <c r="C617" s="21"/>
      <c r="G617" s="16"/>
    </row>
    <row r="618">
      <c r="C618" s="21"/>
      <c r="G618" s="16"/>
    </row>
    <row r="619">
      <c r="C619" s="21"/>
      <c r="G619" s="16"/>
    </row>
    <row r="620">
      <c r="C620" s="21"/>
      <c r="G620" s="16"/>
    </row>
    <row r="621">
      <c r="C621" s="21"/>
      <c r="G621" s="16"/>
    </row>
    <row r="622">
      <c r="C622" s="21"/>
      <c r="G622" s="16"/>
    </row>
    <row r="623">
      <c r="C623" s="21"/>
      <c r="G623" s="16"/>
    </row>
    <row r="624">
      <c r="C624" s="21"/>
      <c r="G624" s="16"/>
    </row>
    <row r="625">
      <c r="C625" s="21"/>
      <c r="G625" s="16"/>
    </row>
    <row r="626">
      <c r="C626" s="21"/>
      <c r="G626" s="16"/>
    </row>
    <row r="627">
      <c r="C627" s="21"/>
      <c r="G627" s="16"/>
    </row>
    <row r="628">
      <c r="C628" s="21"/>
      <c r="G628" s="16"/>
    </row>
    <row r="629">
      <c r="C629" s="21"/>
      <c r="G629" s="16"/>
    </row>
    <row r="630">
      <c r="C630" s="21"/>
      <c r="G630" s="16"/>
    </row>
    <row r="631">
      <c r="C631" s="21"/>
      <c r="G631" s="16"/>
    </row>
    <row r="632">
      <c r="C632" s="21"/>
      <c r="G632" s="16"/>
    </row>
    <row r="633">
      <c r="C633" s="21"/>
      <c r="G633" s="16"/>
    </row>
    <row r="634">
      <c r="C634" s="21"/>
      <c r="G634" s="16"/>
    </row>
    <row r="635">
      <c r="C635" s="21"/>
      <c r="G635" s="16"/>
    </row>
    <row r="636">
      <c r="C636" s="21"/>
      <c r="G636" s="16"/>
    </row>
    <row r="637">
      <c r="C637" s="21"/>
      <c r="G637" s="16"/>
    </row>
    <row r="638">
      <c r="C638" s="21"/>
      <c r="G638" s="16"/>
    </row>
    <row r="639">
      <c r="C639" s="21"/>
      <c r="G639" s="16"/>
    </row>
    <row r="640">
      <c r="C640" s="21"/>
      <c r="G640" s="16"/>
    </row>
    <row r="641">
      <c r="C641" s="21"/>
      <c r="G641" s="16"/>
    </row>
    <row r="642">
      <c r="C642" s="21"/>
      <c r="G642" s="16"/>
    </row>
    <row r="643">
      <c r="C643" s="21"/>
      <c r="G643" s="16"/>
    </row>
    <row r="644">
      <c r="C644" s="21"/>
      <c r="G644" s="16"/>
    </row>
    <row r="645">
      <c r="C645" s="21"/>
      <c r="G645" s="16"/>
    </row>
    <row r="646">
      <c r="C646" s="21"/>
      <c r="G646" s="16"/>
    </row>
    <row r="647">
      <c r="C647" s="21"/>
      <c r="G647" s="16"/>
    </row>
    <row r="648">
      <c r="C648" s="21"/>
      <c r="G648" s="16"/>
    </row>
    <row r="649">
      <c r="C649" s="21"/>
      <c r="G649" s="16"/>
    </row>
    <row r="650">
      <c r="C650" s="21"/>
      <c r="G650" s="16"/>
    </row>
    <row r="651">
      <c r="C651" s="21"/>
      <c r="G651" s="16"/>
    </row>
    <row r="652">
      <c r="C652" s="21"/>
      <c r="G652" s="16"/>
    </row>
    <row r="653">
      <c r="C653" s="21"/>
      <c r="G653" s="16"/>
    </row>
    <row r="654">
      <c r="C654" s="21"/>
      <c r="G654" s="16"/>
    </row>
    <row r="655">
      <c r="C655" s="21"/>
      <c r="G655" s="16"/>
    </row>
    <row r="656">
      <c r="C656" s="21"/>
      <c r="G656" s="16"/>
    </row>
    <row r="657">
      <c r="C657" s="21"/>
      <c r="G657" s="16"/>
    </row>
    <row r="658">
      <c r="C658" s="21"/>
      <c r="G658" s="16"/>
    </row>
    <row r="659">
      <c r="C659" s="21"/>
      <c r="G659" s="16"/>
    </row>
    <row r="660">
      <c r="C660" s="21"/>
      <c r="G660" s="16"/>
    </row>
    <row r="661">
      <c r="C661" s="21"/>
      <c r="G661" s="16"/>
    </row>
    <row r="662">
      <c r="C662" s="21"/>
      <c r="G662" s="16"/>
    </row>
    <row r="663">
      <c r="C663" s="21"/>
      <c r="G663" s="16"/>
    </row>
    <row r="664">
      <c r="C664" s="21"/>
      <c r="G664" s="16"/>
    </row>
    <row r="665">
      <c r="C665" s="21"/>
      <c r="G665" s="16"/>
    </row>
    <row r="666">
      <c r="C666" s="21"/>
      <c r="G666" s="16"/>
    </row>
    <row r="667">
      <c r="C667" s="21"/>
      <c r="G667" s="16"/>
    </row>
    <row r="668">
      <c r="C668" s="21"/>
      <c r="G668" s="16"/>
    </row>
    <row r="669">
      <c r="C669" s="21"/>
      <c r="G669" s="16"/>
    </row>
    <row r="670">
      <c r="C670" s="21"/>
      <c r="G670" s="16"/>
    </row>
    <row r="671">
      <c r="C671" s="21"/>
      <c r="G671" s="16"/>
    </row>
    <row r="672">
      <c r="C672" s="21"/>
      <c r="G672" s="16"/>
    </row>
    <row r="673">
      <c r="C673" s="21"/>
      <c r="G673" s="16"/>
    </row>
    <row r="674">
      <c r="C674" s="21"/>
      <c r="G674" s="16"/>
    </row>
    <row r="675">
      <c r="C675" s="21"/>
      <c r="G675" s="16"/>
    </row>
    <row r="676">
      <c r="C676" s="21"/>
      <c r="G676" s="16"/>
    </row>
    <row r="677">
      <c r="C677" s="21"/>
      <c r="G677" s="16"/>
    </row>
    <row r="678">
      <c r="C678" s="21"/>
      <c r="G678" s="16"/>
    </row>
    <row r="679">
      <c r="C679" s="21"/>
      <c r="G679" s="16"/>
    </row>
    <row r="680">
      <c r="C680" s="21"/>
      <c r="G680" s="16"/>
    </row>
    <row r="681">
      <c r="C681" s="21"/>
      <c r="G681" s="16"/>
    </row>
    <row r="682">
      <c r="C682" s="21"/>
      <c r="G682" s="16"/>
    </row>
    <row r="683">
      <c r="C683" s="21"/>
      <c r="G683" s="16"/>
    </row>
    <row r="684">
      <c r="C684" s="21"/>
      <c r="G684" s="16"/>
    </row>
    <row r="685">
      <c r="C685" s="21"/>
      <c r="G685" s="16"/>
    </row>
    <row r="686">
      <c r="C686" s="21"/>
      <c r="G686" s="16"/>
    </row>
    <row r="687">
      <c r="C687" s="21"/>
      <c r="G687" s="16"/>
    </row>
    <row r="688">
      <c r="C688" s="21"/>
      <c r="G688" s="16"/>
    </row>
    <row r="689">
      <c r="C689" s="21"/>
      <c r="G689" s="16"/>
    </row>
    <row r="690">
      <c r="C690" s="21"/>
      <c r="G690" s="16"/>
    </row>
    <row r="691">
      <c r="C691" s="21"/>
      <c r="G691" s="16"/>
    </row>
    <row r="692">
      <c r="C692" s="21"/>
      <c r="G692" s="16"/>
    </row>
    <row r="693">
      <c r="C693" s="21"/>
      <c r="G693" s="16"/>
    </row>
    <row r="694">
      <c r="C694" s="21"/>
      <c r="G694" s="16"/>
    </row>
    <row r="695">
      <c r="C695" s="21"/>
      <c r="G695" s="16"/>
    </row>
    <row r="696">
      <c r="C696" s="21"/>
      <c r="G696" s="16"/>
    </row>
    <row r="697">
      <c r="C697" s="21"/>
      <c r="G697" s="16"/>
    </row>
    <row r="698">
      <c r="C698" s="21"/>
      <c r="G698" s="16"/>
    </row>
    <row r="699">
      <c r="C699" s="21"/>
      <c r="G699" s="16"/>
    </row>
    <row r="700">
      <c r="C700" s="21"/>
      <c r="G700" s="16"/>
    </row>
    <row r="701">
      <c r="C701" s="21"/>
      <c r="G701" s="16"/>
    </row>
    <row r="702">
      <c r="C702" s="21"/>
      <c r="G702" s="16"/>
    </row>
    <row r="703">
      <c r="C703" s="21"/>
      <c r="G703" s="16"/>
    </row>
    <row r="704">
      <c r="C704" s="21"/>
      <c r="G704" s="16"/>
    </row>
    <row r="705">
      <c r="C705" s="21"/>
      <c r="G705" s="16"/>
    </row>
    <row r="706">
      <c r="C706" s="21"/>
      <c r="G706" s="16"/>
    </row>
    <row r="707">
      <c r="C707" s="21"/>
      <c r="G707" s="16"/>
    </row>
    <row r="708">
      <c r="C708" s="21"/>
      <c r="G708" s="16"/>
    </row>
    <row r="709">
      <c r="C709" s="21"/>
      <c r="G709" s="16"/>
    </row>
    <row r="710">
      <c r="C710" s="21"/>
      <c r="G710" s="16"/>
    </row>
    <row r="711">
      <c r="C711" s="21"/>
      <c r="G711" s="16"/>
    </row>
    <row r="712">
      <c r="C712" s="21"/>
      <c r="G712" s="16"/>
    </row>
    <row r="713">
      <c r="C713" s="21"/>
      <c r="G713" s="16"/>
    </row>
    <row r="714">
      <c r="C714" s="21"/>
      <c r="G714" s="16"/>
    </row>
    <row r="715">
      <c r="C715" s="21"/>
      <c r="G715" s="16"/>
    </row>
    <row r="716">
      <c r="C716" s="21"/>
      <c r="G716" s="16"/>
    </row>
    <row r="717">
      <c r="C717" s="21"/>
      <c r="G717" s="16"/>
    </row>
    <row r="718">
      <c r="C718" s="21"/>
      <c r="G718" s="16"/>
    </row>
    <row r="719">
      <c r="C719" s="21"/>
      <c r="G719" s="16"/>
    </row>
    <row r="720">
      <c r="C720" s="21"/>
      <c r="G720" s="16"/>
    </row>
    <row r="721">
      <c r="C721" s="21"/>
      <c r="G721" s="16"/>
    </row>
    <row r="722">
      <c r="C722" s="21"/>
      <c r="G722" s="16"/>
    </row>
    <row r="723">
      <c r="C723" s="21"/>
      <c r="G723" s="16"/>
    </row>
    <row r="724">
      <c r="C724" s="21"/>
      <c r="G724" s="16"/>
    </row>
    <row r="725">
      <c r="C725" s="21"/>
      <c r="G725" s="16"/>
    </row>
    <row r="726">
      <c r="C726" s="21"/>
      <c r="G726" s="16"/>
    </row>
    <row r="727">
      <c r="C727" s="21"/>
      <c r="G727" s="16"/>
    </row>
    <row r="728">
      <c r="C728" s="21"/>
      <c r="G728" s="16"/>
    </row>
    <row r="729">
      <c r="C729" s="21"/>
      <c r="G729" s="16"/>
    </row>
    <row r="730">
      <c r="C730" s="21"/>
      <c r="G730" s="16"/>
    </row>
    <row r="731">
      <c r="C731" s="21"/>
      <c r="G731" s="16"/>
    </row>
    <row r="732">
      <c r="C732" s="21"/>
      <c r="G732" s="16"/>
    </row>
    <row r="733">
      <c r="C733" s="21"/>
      <c r="G733" s="16"/>
    </row>
    <row r="734">
      <c r="C734" s="21"/>
      <c r="G734" s="16"/>
    </row>
    <row r="735">
      <c r="C735" s="21"/>
      <c r="G735" s="16"/>
    </row>
    <row r="736">
      <c r="C736" s="21"/>
      <c r="G736" s="16"/>
    </row>
    <row r="737">
      <c r="C737" s="21"/>
      <c r="G737" s="16"/>
    </row>
    <row r="738">
      <c r="C738" s="21"/>
      <c r="G738" s="16"/>
    </row>
    <row r="739">
      <c r="C739" s="21"/>
      <c r="G739" s="16"/>
    </row>
    <row r="740">
      <c r="C740" s="21"/>
      <c r="G740" s="16"/>
    </row>
    <row r="741">
      <c r="C741" s="21"/>
      <c r="G741" s="16"/>
    </row>
    <row r="742">
      <c r="C742" s="21"/>
      <c r="G742" s="16"/>
    </row>
    <row r="743">
      <c r="C743" s="21"/>
      <c r="G743" s="16"/>
    </row>
    <row r="744">
      <c r="C744" s="21"/>
      <c r="G744" s="16"/>
    </row>
    <row r="745">
      <c r="C745" s="21"/>
      <c r="G745" s="16"/>
    </row>
    <row r="746">
      <c r="C746" s="21"/>
      <c r="G746" s="16"/>
    </row>
    <row r="747">
      <c r="C747" s="21"/>
      <c r="G747" s="16"/>
    </row>
    <row r="748">
      <c r="C748" s="21"/>
      <c r="G748" s="16"/>
    </row>
    <row r="749">
      <c r="C749" s="21"/>
      <c r="G749" s="16"/>
    </row>
    <row r="750">
      <c r="C750" s="21"/>
      <c r="G750" s="16"/>
    </row>
    <row r="751">
      <c r="C751" s="21"/>
      <c r="G751" s="16"/>
    </row>
    <row r="752">
      <c r="C752" s="21"/>
      <c r="G752" s="16"/>
    </row>
    <row r="753">
      <c r="C753" s="21"/>
      <c r="G753" s="16"/>
    </row>
    <row r="754">
      <c r="C754" s="21"/>
      <c r="G754" s="16"/>
    </row>
    <row r="755">
      <c r="C755" s="21"/>
      <c r="G755" s="16"/>
    </row>
    <row r="756">
      <c r="C756" s="21"/>
      <c r="G756" s="16"/>
    </row>
    <row r="757">
      <c r="C757" s="21"/>
      <c r="G757" s="16"/>
    </row>
    <row r="758">
      <c r="C758" s="21"/>
      <c r="G758" s="16"/>
    </row>
    <row r="759">
      <c r="C759" s="21"/>
      <c r="G759" s="16"/>
    </row>
    <row r="760">
      <c r="C760" s="21"/>
      <c r="G760" s="16"/>
    </row>
    <row r="761">
      <c r="C761" s="21"/>
      <c r="G761" s="16"/>
    </row>
    <row r="762">
      <c r="C762" s="21"/>
      <c r="G762" s="16"/>
    </row>
    <row r="763">
      <c r="C763" s="21"/>
      <c r="G763" s="16"/>
    </row>
    <row r="764">
      <c r="C764" s="21"/>
      <c r="G764" s="16"/>
    </row>
    <row r="765">
      <c r="C765" s="21"/>
      <c r="G765" s="16"/>
    </row>
    <row r="766">
      <c r="C766" s="21"/>
      <c r="G766" s="16"/>
    </row>
    <row r="767">
      <c r="C767" s="21"/>
      <c r="G767" s="16"/>
    </row>
    <row r="768">
      <c r="C768" s="21"/>
      <c r="G768" s="16"/>
    </row>
    <row r="769">
      <c r="C769" s="21"/>
      <c r="G769" s="16"/>
    </row>
    <row r="770">
      <c r="C770" s="21"/>
      <c r="G770" s="16"/>
    </row>
    <row r="771">
      <c r="C771" s="21"/>
      <c r="G771" s="16"/>
    </row>
    <row r="772">
      <c r="C772" s="21"/>
      <c r="G772" s="16"/>
    </row>
    <row r="773">
      <c r="C773" s="21"/>
      <c r="G773" s="16"/>
    </row>
    <row r="774">
      <c r="C774" s="21"/>
      <c r="G774" s="16"/>
    </row>
    <row r="775">
      <c r="C775" s="21"/>
      <c r="G775" s="16"/>
    </row>
    <row r="776">
      <c r="C776" s="21"/>
      <c r="G776" s="16"/>
    </row>
    <row r="777">
      <c r="C777" s="21"/>
      <c r="G777" s="16"/>
    </row>
    <row r="778">
      <c r="C778" s="21"/>
      <c r="G778" s="16"/>
    </row>
    <row r="779">
      <c r="C779" s="21"/>
      <c r="G779" s="16"/>
    </row>
    <row r="780">
      <c r="C780" s="21"/>
      <c r="G780" s="16"/>
    </row>
    <row r="781">
      <c r="C781" s="21"/>
      <c r="G781" s="16"/>
    </row>
    <row r="782">
      <c r="C782" s="21"/>
      <c r="G782" s="16"/>
    </row>
    <row r="783">
      <c r="C783" s="21"/>
      <c r="G783" s="16"/>
    </row>
    <row r="784">
      <c r="C784" s="21"/>
      <c r="G784" s="16"/>
    </row>
    <row r="785">
      <c r="C785" s="21"/>
      <c r="G785" s="16"/>
    </row>
    <row r="786">
      <c r="C786" s="21"/>
      <c r="G786" s="16"/>
    </row>
    <row r="787">
      <c r="C787" s="21"/>
      <c r="G787" s="16"/>
    </row>
    <row r="788">
      <c r="C788" s="21"/>
      <c r="G788" s="16"/>
    </row>
    <row r="789">
      <c r="C789" s="21"/>
      <c r="G789" s="16"/>
    </row>
    <row r="790">
      <c r="C790" s="21"/>
      <c r="G790" s="16"/>
    </row>
    <row r="791">
      <c r="C791" s="21"/>
      <c r="G791" s="16"/>
    </row>
    <row r="792">
      <c r="C792" s="21"/>
      <c r="G792" s="16"/>
    </row>
    <row r="793">
      <c r="C793" s="21"/>
      <c r="G793" s="16"/>
    </row>
    <row r="794">
      <c r="C794" s="21"/>
      <c r="G794" s="16"/>
    </row>
    <row r="795">
      <c r="C795" s="21"/>
      <c r="G795" s="16"/>
    </row>
    <row r="796">
      <c r="C796" s="21"/>
      <c r="G796" s="16"/>
    </row>
    <row r="797">
      <c r="C797" s="21"/>
      <c r="G797" s="16"/>
    </row>
    <row r="798">
      <c r="C798" s="21"/>
      <c r="G798" s="16"/>
    </row>
    <row r="799">
      <c r="C799" s="21"/>
      <c r="G799" s="16"/>
    </row>
    <row r="800">
      <c r="C800" s="21"/>
      <c r="G800" s="16"/>
    </row>
    <row r="801">
      <c r="C801" s="21"/>
      <c r="G801" s="16"/>
    </row>
    <row r="802">
      <c r="C802" s="21"/>
      <c r="G802" s="16"/>
    </row>
    <row r="803">
      <c r="C803" s="21"/>
      <c r="G803" s="16"/>
    </row>
    <row r="804">
      <c r="C804" s="21"/>
      <c r="G804" s="16"/>
    </row>
    <row r="805">
      <c r="C805" s="21"/>
      <c r="G805" s="16"/>
    </row>
    <row r="806">
      <c r="C806" s="21"/>
      <c r="G806" s="16"/>
    </row>
    <row r="807">
      <c r="C807" s="21"/>
      <c r="G807" s="16"/>
    </row>
    <row r="808">
      <c r="C808" s="21"/>
      <c r="G808" s="16"/>
    </row>
    <row r="809">
      <c r="C809" s="21"/>
      <c r="G809" s="16"/>
    </row>
    <row r="810">
      <c r="C810" s="21"/>
      <c r="G810" s="16"/>
    </row>
    <row r="811">
      <c r="C811" s="21"/>
      <c r="G811" s="16"/>
    </row>
    <row r="812">
      <c r="C812" s="21"/>
      <c r="G812" s="16"/>
    </row>
    <row r="813">
      <c r="C813" s="21"/>
      <c r="G813" s="16"/>
    </row>
    <row r="814">
      <c r="C814" s="21"/>
      <c r="G814" s="16"/>
    </row>
    <row r="815">
      <c r="C815" s="21"/>
      <c r="G815" s="16"/>
    </row>
    <row r="816">
      <c r="C816" s="21"/>
      <c r="G816" s="16"/>
    </row>
    <row r="817">
      <c r="C817" s="21"/>
      <c r="G817" s="16"/>
    </row>
    <row r="818">
      <c r="C818" s="21"/>
      <c r="G818" s="16"/>
    </row>
    <row r="819">
      <c r="C819" s="21"/>
      <c r="G819" s="16"/>
    </row>
    <row r="820">
      <c r="C820" s="21"/>
      <c r="G820" s="16"/>
    </row>
    <row r="821">
      <c r="C821" s="21"/>
      <c r="G821" s="16"/>
    </row>
    <row r="822">
      <c r="C822" s="21"/>
      <c r="G822" s="16"/>
    </row>
    <row r="823">
      <c r="C823" s="21"/>
      <c r="G823" s="16"/>
    </row>
    <row r="824">
      <c r="C824" s="21"/>
      <c r="G824" s="16"/>
    </row>
    <row r="825">
      <c r="C825" s="21"/>
      <c r="G825" s="16"/>
    </row>
    <row r="826">
      <c r="C826" s="21"/>
      <c r="G826" s="16"/>
    </row>
    <row r="827">
      <c r="C827" s="21"/>
      <c r="G827" s="16"/>
    </row>
    <row r="828">
      <c r="C828" s="21"/>
      <c r="G828" s="16"/>
    </row>
    <row r="829">
      <c r="C829" s="21"/>
      <c r="G829" s="16"/>
    </row>
    <row r="830">
      <c r="C830" s="21"/>
      <c r="G830" s="16"/>
    </row>
    <row r="831">
      <c r="C831" s="21"/>
      <c r="G831" s="16"/>
    </row>
    <row r="832">
      <c r="C832" s="21"/>
      <c r="G832" s="16"/>
    </row>
    <row r="833">
      <c r="C833" s="21"/>
      <c r="G833" s="16"/>
    </row>
    <row r="834">
      <c r="C834" s="21"/>
      <c r="G834" s="16"/>
    </row>
    <row r="835">
      <c r="C835" s="21"/>
      <c r="G835" s="16"/>
    </row>
    <row r="836">
      <c r="C836" s="21"/>
      <c r="G836" s="16"/>
    </row>
    <row r="837">
      <c r="C837" s="21"/>
      <c r="G837" s="16"/>
    </row>
    <row r="838">
      <c r="C838" s="21"/>
      <c r="G838" s="16"/>
    </row>
    <row r="839">
      <c r="C839" s="21"/>
      <c r="G839" s="16"/>
    </row>
    <row r="840">
      <c r="C840" s="21"/>
      <c r="G840" s="16"/>
    </row>
    <row r="841">
      <c r="C841" s="21"/>
      <c r="G841" s="16"/>
    </row>
    <row r="842">
      <c r="C842" s="21"/>
      <c r="G842" s="16"/>
    </row>
    <row r="843">
      <c r="C843" s="21"/>
      <c r="G843" s="16"/>
    </row>
    <row r="844">
      <c r="C844" s="21"/>
      <c r="G844" s="16"/>
    </row>
    <row r="845">
      <c r="C845" s="21"/>
      <c r="G845" s="16"/>
    </row>
    <row r="846">
      <c r="C846" s="21"/>
      <c r="G846" s="16"/>
    </row>
    <row r="847">
      <c r="C847" s="21"/>
      <c r="G847" s="16"/>
    </row>
    <row r="848">
      <c r="C848" s="21"/>
      <c r="G848" s="16"/>
    </row>
    <row r="849">
      <c r="C849" s="21"/>
      <c r="G849" s="16"/>
    </row>
    <row r="850">
      <c r="C850" s="21"/>
      <c r="G850" s="16"/>
    </row>
    <row r="851">
      <c r="C851" s="21"/>
      <c r="G851" s="16"/>
    </row>
    <row r="852">
      <c r="C852" s="21"/>
      <c r="G852" s="16"/>
    </row>
    <row r="853">
      <c r="C853" s="21"/>
      <c r="G853" s="16"/>
    </row>
    <row r="854">
      <c r="C854" s="21"/>
      <c r="G854" s="16"/>
    </row>
    <row r="855">
      <c r="C855" s="21"/>
      <c r="G855" s="16"/>
    </row>
    <row r="856">
      <c r="C856" s="21"/>
      <c r="G856" s="16"/>
    </row>
    <row r="857">
      <c r="C857" s="21"/>
      <c r="G857" s="16"/>
    </row>
    <row r="858">
      <c r="C858" s="21"/>
      <c r="G858" s="16"/>
    </row>
    <row r="859">
      <c r="C859" s="21"/>
      <c r="G859" s="16"/>
    </row>
    <row r="860">
      <c r="C860" s="21"/>
      <c r="G860" s="16"/>
    </row>
    <row r="861">
      <c r="C861" s="21"/>
      <c r="G861" s="16"/>
    </row>
    <row r="862">
      <c r="C862" s="21"/>
      <c r="G862" s="16"/>
    </row>
    <row r="863">
      <c r="C863" s="21"/>
      <c r="G863" s="16"/>
    </row>
    <row r="864">
      <c r="C864" s="21"/>
      <c r="G864" s="16"/>
    </row>
    <row r="865">
      <c r="C865" s="21"/>
      <c r="G865" s="16"/>
    </row>
    <row r="866">
      <c r="C866" s="21"/>
      <c r="G866" s="16"/>
    </row>
    <row r="867">
      <c r="C867" s="21"/>
      <c r="G867" s="16"/>
    </row>
    <row r="868">
      <c r="C868" s="21"/>
      <c r="G868" s="16"/>
    </row>
    <row r="869">
      <c r="C869" s="21"/>
      <c r="G869" s="16"/>
    </row>
    <row r="870">
      <c r="C870" s="21"/>
      <c r="G870" s="16"/>
    </row>
    <row r="871">
      <c r="C871" s="21"/>
      <c r="G871" s="16"/>
    </row>
    <row r="872">
      <c r="C872" s="21"/>
      <c r="G872" s="16"/>
    </row>
    <row r="873">
      <c r="C873" s="21"/>
      <c r="G873" s="16"/>
    </row>
    <row r="874">
      <c r="C874" s="21"/>
      <c r="G874" s="16"/>
    </row>
    <row r="875">
      <c r="C875" s="21"/>
      <c r="G875" s="16"/>
    </row>
    <row r="876">
      <c r="C876" s="21"/>
      <c r="G876" s="16"/>
    </row>
    <row r="877">
      <c r="C877" s="21"/>
      <c r="G877" s="16"/>
    </row>
    <row r="878">
      <c r="C878" s="21"/>
      <c r="G878" s="16"/>
    </row>
    <row r="879">
      <c r="C879" s="21"/>
      <c r="G879" s="16"/>
    </row>
    <row r="880">
      <c r="C880" s="21"/>
      <c r="G880" s="16"/>
    </row>
    <row r="881">
      <c r="C881" s="21"/>
      <c r="G881" s="16"/>
    </row>
    <row r="882">
      <c r="C882" s="21"/>
      <c r="G882" s="16"/>
    </row>
    <row r="883">
      <c r="C883" s="21"/>
      <c r="G883" s="16"/>
    </row>
    <row r="884">
      <c r="C884" s="21"/>
      <c r="G884" s="16"/>
    </row>
    <row r="885">
      <c r="C885" s="21"/>
      <c r="G885" s="16"/>
    </row>
    <row r="886">
      <c r="C886" s="21"/>
      <c r="G886" s="16"/>
    </row>
    <row r="887">
      <c r="C887" s="21"/>
      <c r="G887" s="16"/>
    </row>
    <row r="888">
      <c r="C888" s="21"/>
      <c r="G888" s="16"/>
    </row>
    <row r="889">
      <c r="C889" s="21"/>
      <c r="G889" s="16"/>
    </row>
    <row r="890">
      <c r="C890" s="21"/>
      <c r="G890" s="16"/>
    </row>
    <row r="891">
      <c r="C891" s="21"/>
      <c r="G891" s="16"/>
    </row>
    <row r="892">
      <c r="C892" s="21"/>
      <c r="G892" s="16"/>
    </row>
    <row r="893">
      <c r="C893" s="21"/>
      <c r="G893" s="16"/>
    </row>
    <row r="894">
      <c r="C894" s="21"/>
      <c r="G894" s="16"/>
    </row>
    <row r="895">
      <c r="C895" s="21"/>
      <c r="G895" s="16"/>
    </row>
    <row r="896">
      <c r="C896" s="21"/>
      <c r="G896" s="16"/>
    </row>
    <row r="897">
      <c r="C897" s="21"/>
      <c r="G897" s="16"/>
    </row>
    <row r="898">
      <c r="C898" s="21"/>
      <c r="G898" s="16"/>
    </row>
    <row r="899">
      <c r="C899" s="21"/>
      <c r="G899" s="16"/>
    </row>
    <row r="900">
      <c r="C900" s="21"/>
      <c r="G900" s="16"/>
    </row>
    <row r="901">
      <c r="C901" s="21"/>
      <c r="G901" s="16"/>
    </row>
    <row r="902">
      <c r="C902" s="21"/>
      <c r="G902" s="16"/>
    </row>
    <row r="903">
      <c r="C903" s="21"/>
      <c r="G903" s="16"/>
    </row>
    <row r="904">
      <c r="C904" s="21"/>
      <c r="G904" s="16"/>
    </row>
    <row r="905">
      <c r="C905" s="21"/>
      <c r="G905" s="16"/>
    </row>
    <row r="906">
      <c r="C906" s="21"/>
      <c r="G906" s="16"/>
    </row>
    <row r="907">
      <c r="C907" s="21"/>
      <c r="G907" s="16"/>
    </row>
    <row r="908">
      <c r="C908" s="21"/>
      <c r="G908" s="16"/>
    </row>
    <row r="909">
      <c r="C909" s="21"/>
      <c r="G909" s="16"/>
    </row>
    <row r="910">
      <c r="C910" s="21"/>
      <c r="G910" s="16"/>
    </row>
    <row r="911">
      <c r="C911" s="21"/>
      <c r="G911" s="16"/>
    </row>
    <row r="912">
      <c r="C912" s="21"/>
      <c r="G912" s="16"/>
    </row>
    <row r="913">
      <c r="C913" s="21"/>
      <c r="G913" s="16"/>
    </row>
    <row r="914">
      <c r="C914" s="21"/>
      <c r="G914" s="16"/>
    </row>
    <row r="915">
      <c r="C915" s="21"/>
      <c r="G915" s="16"/>
    </row>
    <row r="916">
      <c r="C916" s="21"/>
      <c r="G916" s="16"/>
    </row>
    <row r="917">
      <c r="C917" s="21"/>
      <c r="G917" s="16"/>
    </row>
    <row r="918">
      <c r="C918" s="21"/>
      <c r="G918" s="16"/>
    </row>
    <row r="919">
      <c r="C919" s="21"/>
      <c r="G919" s="16"/>
    </row>
    <row r="920">
      <c r="C920" s="21"/>
      <c r="G920" s="16"/>
    </row>
    <row r="921">
      <c r="C921" s="21"/>
      <c r="G921" s="16"/>
    </row>
    <row r="922">
      <c r="C922" s="21"/>
      <c r="G922" s="16"/>
    </row>
    <row r="923">
      <c r="C923" s="21"/>
      <c r="G923" s="16"/>
    </row>
    <row r="924">
      <c r="C924" s="21"/>
      <c r="G924" s="16"/>
    </row>
    <row r="925">
      <c r="C925" s="21"/>
      <c r="G925" s="16"/>
    </row>
    <row r="926">
      <c r="C926" s="21"/>
      <c r="G926" s="16"/>
    </row>
    <row r="927">
      <c r="C927" s="21"/>
      <c r="G927" s="16"/>
    </row>
    <row r="928">
      <c r="C928" s="21"/>
      <c r="G928" s="16"/>
    </row>
    <row r="929">
      <c r="C929" s="21"/>
      <c r="G929" s="16"/>
    </row>
    <row r="930">
      <c r="C930" s="21"/>
      <c r="G930" s="16"/>
    </row>
    <row r="931">
      <c r="C931" s="21"/>
      <c r="G931" s="16"/>
    </row>
    <row r="932">
      <c r="C932" s="21"/>
      <c r="G932" s="16"/>
    </row>
    <row r="933">
      <c r="C933" s="21"/>
      <c r="G933" s="16"/>
    </row>
    <row r="934">
      <c r="C934" s="21"/>
      <c r="G934" s="16"/>
    </row>
    <row r="935">
      <c r="C935" s="21"/>
      <c r="G935" s="16"/>
    </row>
    <row r="936">
      <c r="C936" s="21"/>
      <c r="G936" s="16"/>
    </row>
    <row r="937">
      <c r="C937" s="21"/>
      <c r="G937" s="16"/>
    </row>
    <row r="938">
      <c r="C938" s="21"/>
      <c r="G938" s="16"/>
    </row>
    <row r="939">
      <c r="C939" s="21"/>
      <c r="G939" s="16"/>
    </row>
    <row r="940">
      <c r="C940" s="21"/>
      <c r="G940" s="16"/>
    </row>
    <row r="941">
      <c r="C941" s="21"/>
      <c r="G941" s="16"/>
    </row>
    <row r="942">
      <c r="C942" s="21"/>
      <c r="G942" s="16"/>
    </row>
    <row r="943">
      <c r="C943" s="21"/>
      <c r="G943" s="16"/>
    </row>
    <row r="944">
      <c r="C944" s="21"/>
      <c r="G944" s="16"/>
    </row>
    <row r="945">
      <c r="C945" s="21"/>
      <c r="G945" s="16"/>
    </row>
    <row r="946">
      <c r="C946" s="21"/>
      <c r="G946" s="16"/>
    </row>
    <row r="947">
      <c r="C947" s="21"/>
      <c r="G947" s="16"/>
    </row>
    <row r="948">
      <c r="C948" s="21"/>
      <c r="G948" s="16"/>
    </row>
    <row r="949">
      <c r="C949" s="21"/>
      <c r="G949" s="16"/>
    </row>
    <row r="950">
      <c r="C950" s="21"/>
      <c r="G950" s="16"/>
    </row>
    <row r="951">
      <c r="C951" s="21"/>
      <c r="G951" s="16"/>
    </row>
    <row r="952">
      <c r="C952" s="21"/>
      <c r="G952" s="16"/>
    </row>
    <row r="953">
      <c r="C953" s="21"/>
      <c r="G953" s="16"/>
    </row>
    <row r="954">
      <c r="C954" s="21"/>
      <c r="G954" s="16"/>
    </row>
    <row r="955">
      <c r="C955" s="21"/>
      <c r="G955" s="16"/>
    </row>
    <row r="956">
      <c r="C956" s="21"/>
      <c r="G956" s="16"/>
    </row>
    <row r="957">
      <c r="C957" s="21"/>
      <c r="G957" s="16"/>
    </row>
    <row r="958">
      <c r="C958" s="21"/>
      <c r="G958" s="16"/>
    </row>
    <row r="959">
      <c r="C959" s="21"/>
      <c r="G959" s="16"/>
    </row>
    <row r="960">
      <c r="C960" s="21"/>
      <c r="G960" s="16"/>
    </row>
    <row r="961">
      <c r="C961" s="21"/>
      <c r="G961" s="16"/>
    </row>
    <row r="962">
      <c r="C962" s="21"/>
      <c r="G962" s="16"/>
    </row>
    <row r="963">
      <c r="C963" s="21"/>
      <c r="G963" s="16"/>
    </row>
    <row r="964">
      <c r="C964" s="21"/>
      <c r="G964" s="16"/>
    </row>
    <row r="965">
      <c r="C965" s="21"/>
      <c r="G965" s="16"/>
    </row>
    <row r="966">
      <c r="C966" s="21"/>
      <c r="G966" s="16"/>
    </row>
    <row r="967">
      <c r="C967" s="21"/>
      <c r="G967" s="16"/>
    </row>
    <row r="968">
      <c r="C968" s="21"/>
      <c r="G968" s="16"/>
    </row>
    <row r="969">
      <c r="C969" s="21"/>
      <c r="G969" s="16"/>
    </row>
    <row r="970">
      <c r="C970" s="21"/>
      <c r="G970" s="16"/>
    </row>
    <row r="971">
      <c r="C971" s="21"/>
      <c r="G971" s="16"/>
    </row>
    <row r="972">
      <c r="C972" s="21"/>
      <c r="G972" s="16"/>
    </row>
    <row r="973">
      <c r="C973" s="21"/>
      <c r="G973" s="16"/>
    </row>
    <row r="974">
      <c r="C974" s="21"/>
      <c r="G974" s="16"/>
    </row>
    <row r="975">
      <c r="C975" s="21"/>
      <c r="G975" s="16"/>
    </row>
    <row r="976">
      <c r="C976" s="21"/>
      <c r="G976" s="16"/>
    </row>
    <row r="977">
      <c r="C977" s="21"/>
      <c r="G977" s="16"/>
    </row>
    <row r="978">
      <c r="C978" s="21"/>
      <c r="G978" s="16"/>
    </row>
    <row r="979">
      <c r="C979" s="21"/>
      <c r="G979" s="16"/>
    </row>
    <row r="980">
      <c r="C980" s="21"/>
      <c r="G980" s="16"/>
    </row>
    <row r="981">
      <c r="C981" s="21"/>
      <c r="G981" s="16"/>
    </row>
    <row r="982">
      <c r="C982" s="21"/>
      <c r="G982" s="16"/>
    </row>
    <row r="983">
      <c r="C983" s="21"/>
      <c r="G983" s="16"/>
    </row>
    <row r="984">
      <c r="C984" s="21"/>
      <c r="G984" s="16"/>
    </row>
    <row r="985">
      <c r="C985" s="21"/>
      <c r="G985" s="16"/>
    </row>
    <row r="986">
      <c r="C986" s="21"/>
      <c r="G986" s="16"/>
    </row>
    <row r="987">
      <c r="C987" s="21"/>
      <c r="G987" s="16"/>
    </row>
    <row r="988">
      <c r="C988" s="21"/>
      <c r="G988" s="16"/>
    </row>
    <row r="989">
      <c r="C989" s="21"/>
      <c r="G989" s="16"/>
    </row>
    <row r="990">
      <c r="C990" s="21"/>
      <c r="G990" s="16"/>
    </row>
    <row r="991">
      <c r="C991" s="21"/>
      <c r="G991" s="16"/>
    </row>
    <row r="992">
      <c r="C992" s="21"/>
      <c r="G992" s="16"/>
    </row>
    <row r="993">
      <c r="C993" s="21"/>
      <c r="G993" s="16"/>
    </row>
    <row r="994">
      <c r="C994" s="21"/>
      <c r="G994" s="16"/>
    </row>
    <row r="995">
      <c r="C995" s="21"/>
      <c r="G995" s="16"/>
    </row>
    <row r="996">
      <c r="C996" s="21"/>
      <c r="G996" s="16"/>
    </row>
    <row r="997">
      <c r="C997" s="21"/>
      <c r="G997" s="16"/>
    </row>
    <row r="998">
      <c r="C998" s="21"/>
      <c r="G998" s="16"/>
    </row>
    <row r="999">
      <c r="C999" s="21"/>
      <c r="G999" s="16"/>
    </row>
    <row r="1000">
      <c r="C1000" s="21"/>
      <c r="G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52.5"/>
    <col customWidth="1" min="3" max="3" width="21.38"/>
    <col customWidth="1" min="4" max="4" width="26.25"/>
    <col customWidth="1" min="5" max="6" width="7.63"/>
    <col customWidth="1" min="7" max="7" width="13.0"/>
    <col customWidth="1" min="8" max="25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48</v>
      </c>
      <c r="C2" s="18">
        <v>0.0</v>
      </c>
      <c r="D2" s="19" t="s">
        <v>6</v>
      </c>
      <c r="G2" s="20" t="s">
        <v>14</v>
      </c>
    </row>
    <row r="3">
      <c r="A3" s="17">
        <v>2.0</v>
      </c>
      <c r="B3" s="17" t="s">
        <v>49</v>
      </c>
      <c r="C3" s="21">
        <v>0.0036805555555555554</v>
      </c>
      <c r="D3" s="19" t="s">
        <v>6</v>
      </c>
      <c r="G3" s="22">
        <f>SUM(C2:C1000)</f>
        <v>0.4081481481</v>
      </c>
    </row>
    <row r="4">
      <c r="A4" s="17">
        <v>3.0</v>
      </c>
      <c r="B4" s="17" t="s">
        <v>50</v>
      </c>
      <c r="C4" s="21">
        <v>0.013090277777777777</v>
      </c>
      <c r="D4" s="19" t="s">
        <v>6</v>
      </c>
      <c r="G4" s="16"/>
    </row>
    <row r="5">
      <c r="A5" s="17">
        <v>4.0</v>
      </c>
      <c r="B5" s="17" t="s">
        <v>51</v>
      </c>
      <c r="C5" s="21">
        <v>0.013206018518518518</v>
      </c>
      <c r="D5" s="19" t="s">
        <v>6</v>
      </c>
      <c r="G5" s="19" t="s">
        <v>6</v>
      </c>
    </row>
    <row r="6">
      <c r="A6" s="17">
        <v>5.0</v>
      </c>
      <c r="B6" s="17" t="s">
        <v>52</v>
      </c>
      <c r="C6" s="21">
        <v>0.009432870370370371</v>
      </c>
      <c r="D6" s="19" t="s">
        <v>6</v>
      </c>
      <c r="G6" s="23">
        <f>SUMIF(D:D,G5,C:C)</f>
        <v>0.4081481481</v>
      </c>
    </row>
    <row r="7">
      <c r="A7" s="17">
        <v>6.0</v>
      </c>
      <c r="B7" s="17" t="s">
        <v>53</v>
      </c>
      <c r="C7" s="21">
        <v>0.008958333333333334</v>
      </c>
      <c r="D7" s="19" t="s">
        <v>6</v>
      </c>
      <c r="G7" s="16"/>
    </row>
    <row r="8">
      <c r="A8" s="17">
        <v>7.0</v>
      </c>
      <c r="B8" s="17" t="s">
        <v>54</v>
      </c>
      <c r="C8" s="21">
        <v>0.007418981481481481</v>
      </c>
      <c r="D8" s="19" t="s">
        <v>6</v>
      </c>
      <c r="G8" s="17" t="s">
        <v>7</v>
      </c>
    </row>
    <row r="9">
      <c r="A9" s="17">
        <v>8.0</v>
      </c>
      <c r="B9" s="17" t="s">
        <v>55</v>
      </c>
      <c r="C9" s="21">
        <v>0.010011574074074074</v>
      </c>
      <c r="D9" s="19" t="s">
        <v>6</v>
      </c>
      <c r="G9" s="23">
        <f>SUMIF(D:D,G8,C:C)</f>
        <v>0</v>
      </c>
    </row>
    <row r="10">
      <c r="A10" s="17">
        <v>9.0</v>
      </c>
      <c r="B10" s="17" t="s">
        <v>56</v>
      </c>
      <c r="C10" s="21">
        <v>0.010949074074074075</v>
      </c>
      <c r="D10" s="19" t="s">
        <v>6</v>
      </c>
      <c r="G10" s="16"/>
    </row>
    <row r="11">
      <c r="A11" s="17">
        <v>10.0</v>
      </c>
      <c r="B11" s="17" t="s">
        <v>57</v>
      </c>
      <c r="C11" s="21">
        <v>0.012546296296296297</v>
      </c>
      <c r="D11" s="19" t="s">
        <v>6</v>
      </c>
      <c r="G11" s="16"/>
    </row>
    <row r="12">
      <c r="A12" s="17">
        <v>11.0</v>
      </c>
      <c r="B12" s="17" t="s">
        <v>58</v>
      </c>
      <c r="C12" s="21">
        <v>0.010694444444444444</v>
      </c>
      <c r="D12" s="19" t="s">
        <v>6</v>
      </c>
      <c r="G12" s="16"/>
    </row>
    <row r="13">
      <c r="A13" s="17">
        <v>12.0</v>
      </c>
      <c r="B13" s="17" t="s">
        <v>59</v>
      </c>
      <c r="C13" s="21">
        <v>0.011377314814814814</v>
      </c>
      <c r="D13" s="19" t="s">
        <v>6</v>
      </c>
      <c r="G13" s="16"/>
    </row>
    <row r="14">
      <c r="A14" s="17">
        <v>13.0</v>
      </c>
      <c r="B14" s="17" t="s">
        <v>60</v>
      </c>
      <c r="C14" s="21">
        <v>0.011273148148148148</v>
      </c>
      <c r="D14" s="19" t="s">
        <v>6</v>
      </c>
      <c r="G14" s="16"/>
    </row>
    <row r="15">
      <c r="A15" s="17">
        <v>14.0</v>
      </c>
      <c r="B15" s="17" t="s">
        <v>61</v>
      </c>
      <c r="C15" s="21">
        <v>0.007766203703703704</v>
      </c>
      <c r="D15" s="19" t="s">
        <v>6</v>
      </c>
      <c r="G15" s="16"/>
    </row>
    <row r="16">
      <c r="A16" s="17">
        <v>15.0</v>
      </c>
      <c r="B16" s="17" t="s">
        <v>62</v>
      </c>
      <c r="C16" s="21">
        <v>0.011099537037037036</v>
      </c>
      <c r="D16" s="19" t="s">
        <v>6</v>
      </c>
      <c r="G16" s="16"/>
    </row>
    <row r="17">
      <c r="A17" s="17">
        <v>16.0</v>
      </c>
      <c r="B17" s="17" t="s">
        <v>63</v>
      </c>
      <c r="C17" s="21">
        <v>0.004502314814814815</v>
      </c>
      <c r="D17" s="19" t="s">
        <v>6</v>
      </c>
      <c r="G17" s="16"/>
    </row>
    <row r="18">
      <c r="A18" s="17">
        <v>17.0</v>
      </c>
      <c r="B18" s="17" t="s">
        <v>64</v>
      </c>
      <c r="C18" s="21">
        <v>0.0051736111111111115</v>
      </c>
      <c r="D18" s="19" t="s">
        <v>6</v>
      </c>
      <c r="G18" s="16"/>
    </row>
    <row r="19">
      <c r="A19" s="17">
        <v>18.0</v>
      </c>
      <c r="B19" s="17" t="s">
        <v>65</v>
      </c>
      <c r="C19" s="21">
        <v>0.007372685185185185</v>
      </c>
      <c r="D19" s="19" t="s">
        <v>6</v>
      </c>
      <c r="G19" s="16"/>
    </row>
    <row r="20">
      <c r="A20" s="17">
        <v>19.0</v>
      </c>
      <c r="B20" s="17" t="s">
        <v>66</v>
      </c>
      <c r="C20" s="21">
        <v>0.013321759259259259</v>
      </c>
      <c r="D20" s="19" t="s">
        <v>6</v>
      </c>
      <c r="G20" s="16"/>
    </row>
    <row r="21" ht="15.75" customHeight="1">
      <c r="A21" s="17">
        <v>20.0</v>
      </c>
      <c r="B21" s="17" t="s">
        <v>67</v>
      </c>
      <c r="C21" s="21">
        <v>0.0028472222222222223</v>
      </c>
      <c r="D21" s="19" t="s">
        <v>6</v>
      </c>
      <c r="G21" s="16"/>
    </row>
    <row r="22" ht="15.75" customHeight="1">
      <c r="A22" s="17">
        <v>21.0</v>
      </c>
      <c r="B22" s="17" t="s">
        <v>68</v>
      </c>
      <c r="C22" s="21">
        <v>0.010231481481481482</v>
      </c>
      <c r="D22" s="19" t="s">
        <v>6</v>
      </c>
      <c r="G22" s="16"/>
    </row>
    <row r="23" ht="15.75" customHeight="1">
      <c r="A23" s="17">
        <v>22.0</v>
      </c>
      <c r="B23" s="17" t="s">
        <v>69</v>
      </c>
      <c r="C23" s="21">
        <v>0.0036805555555555554</v>
      </c>
      <c r="D23" s="19" t="s">
        <v>6</v>
      </c>
      <c r="G23" s="16"/>
    </row>
    <row r="24" ht="15.75" customHeight="1">
      <c r="A24" s="17">
        <v>23.0</v>
      </c>
      <c r="B24" s="17" t="s">
        <v>70</v>
      </c>
      <c r="C24" s="21">
        <v>0.010578703703703703</v>
      </c>
      <c r="D24" s="19" t="s">
        <v>6</v>
      </c>
      <c r="G24" s="16"/>
    </row>
    <row r="25" ht="15.75" customHeight="1">
      <c r="A25" s="17">
        <v>24.0</v>
      </c>
      <c r="B25" s="17" t="s">
        <v>71</v>
      </c>
      <c r="C25" s="21">
        <v>0.011030092592592593</v>
      </c>
      <c r="D25" s="19" t="s">
        <v>6</v>
      </c>
      <c r="G25" s="16"/>
    </row>
    <row r="26" ht="15.75" customHeight="1">
      <c r="A26" s="17">
        <v>25.0</v>
      </c>
      <c r="B26" s="17" t="s">
        <v>72</v>
      </c>
      <c r="C26" s="21">
        <v>0.008981481481481481</v>
      </c>
      <c r="D26" s="19" t="s">
        <v>6</v>
      </c>
      <c r="G26" s="16"/>
    </row>
    <row r="27" ht="15.75" customHeight="1">
      <c r="A27" s="17">
        <v>26.0</v>
      </c>
      <c r="B27" s="17" t="s">
        <v>73</v>
      </c>
      <c r="C27" s="21">
        <v>0.012638888888888889</v>
      </c>
      <c r="D27" s="19" t="s">
        <v>6</v>
      </c>
      <c r="G27" s="16"/>
    </row>
    <row r="28" ht="15.75" customHeight="1">
      <c r="A28" s="17">
        <v>27.0</v>
      </c>
      <c r="B28" s="17" t="s">
        <v>74</v>
      </c>
      <c r="C28" s="21">
        <v>0.01025462962962963</v>
      </c>
      <c r="D28" s="19" t="s">
        <v>6</v>
      </c>
      <c r="G28" s="16"/>
    </row>
    <row r="29" ht="15.75" customHeight="1">
      <c r="A29" s="17">
        <v>28.0</v>
      </c>
      <c r="B29" s="17" t="s">
        <v>75</v>
      </c>
      <c r="C29" s="21">
        <v>0.006435185185185185</v>
      </c>
      <c r="D29" s="19" t="s">
        <v>6</v>
      </c>
      <c r="G29" s="16"/>
    </row>
    <row r="30" ht="15.75" customHeight="1">
      <c r="A30" s="17">
        <v>29.0</v>
      </c>
      <c r="B30" s="17" t="s">
        <v>76</v>
      </c>
      <c r="C30" s="21">
        <v>0.011064814814814816</v>
      </c>
      <c r="D30" s="19" t="s">
        <v>6</v>
      </c>
      <c r="G30" s="16"/>
    </row>
    <row r="31" ht="15.75" customHeight="1">
      <c r="A31" s="17">
        <v>30.0</v>
      </c>
      <c r="B31" s="17" t="s">
        <v>77</v>
      </c>
      <c r="C31" s="21">
        <v>0.0069560185185185185</v>
      </c>
      <c r="D31" s="19" t="s">
        <v>6</v>
      </c>
      <c r="G31" s="16"/>
    </row>
    <row r="32" ht="15.75" customHeight="1">
      <c r="A32" s="17">
        <v>31.0</v>
      </c>
      <c r="B32" s="17" t="s">
        <v>78</v>
      </c>
      <c r="C32" s="21">
        <v>0.006307870370370371</v>
      </c>
      <c r="D32" s="19" t="s">
        <v>6</v>
      </c>
      <c r="G32" s="16"/>
    </row>
    <row r="33" ht="15.75" customHeight="1">
      <c r="A33" s="17">
        <v>32.0</v>
      </c>
      <c r="B33" s="17" t="s">
        <v>79</v>
      </c>
      <c r="C33" s="21">
        <v>0.008819444444444444</v>
      </c>
      <c r="D33" s="19" t="s">
        <v>6</v>
      </c>
      <c r="G33" s="16"/>
    </row>
    <row r="34" ht="15.75" customHeight="1">
      <c r="A34" s="17">
        <v>33.0</v>
      </c>
      <c r="B34" s="17" t="s">
        <v>80</v>
      </c>
      <c r="C34" s="21">
        <v>0.017361111111111112</v>
      </c>
      <c r="D34" s="19" t="s">
        <v>6</v>
      </c>
      <c r="G34" s="16"/>
    </row>
    <row r="35" ht="15.75" customHeight="1">
      <c r="A35" s="17">
        <v>34.0</v>
      </c>
      <c r="B35" s="17" t="s">
        <v>81</v>
      </c>
      <c r="C35" s="21">
        <v>0.01292824074074074</v>
      </c>
      <c r="D35" s="19" t="s">
        <v>6</v>
      </c>
      <c r="G35" s="16"/>
    </row>
    <row r="36" ht="15.75" customHeight="1">
      <c r="A36" s="17">
        <v>35.0</v>
      </c>
      <c r="B36" s="17" t="s">
        <v>82</v>
      </c>
      <c r="C36" s="21">
        <v>0.007152777777777778</v>
      </c>
      <c r="D36" s="19" t="s">
        <v>6</v>
      </c>
      <c r="G36" s="16"/>
    </row>
    <row r="37" ht="15.75" customHeight="1">
      <c r="A37" s="17">
        <v>36.0</v>
      </c>
      <c r="B37" s="17" t="s">
        <v>83</v>
      </c>
      <c r="C37" s="21">
        <v>0.01050925925925926</v>
      </c>
      <c r="D37" s="19" t="s">
        <v>6</v>
      </c>
      <c r="G37" s="16"/>
    </row>
    <row r="38" ht="15.75" customHeight="1">
      <c r="A38" s="17">
        <v>37.0</v>
      </c>
      <c r="B38" s="17" t="s">
        <v>84</v>
      </c>
      <c r="C38" s="21">
        <v>0.009675925925925926</v>
      </c>
      <c r="D38" s="19" t="s">
        <v>6</v>
      </c>
      <c r="G38" s="16"/>
    </row>
    <row r="39" ht="15.75" customHeight="1">
      <c r="A39" s="17">
        <v>38.0</v>
      </c>
      <c r="B39" s="17" t="s">
        <v>85</v>
      </c>
      <c r="C39" s="21">
        <v>0.014097222222222223</v>
      </c>
      <c r="D39" s="19" t="s">
        <v>6</v>
      </c>
      <c r="G39" s="16"/>
    </row>
    <row r="40" ht="15.75" customHeight="1">
      <c r="A40" s="17">
        <v>39.0</v>
      </c>
      <c r="B40" s="17" t="s">
        <v>86</v>
      </c>
      <c r="C40" s="21">
        <v>0.008402777777777778</v>
      </c>
      <c r="D40" s="19" t="s">
        <v>6</v>
      </c>
      <c r="G40" s="16"/>
    </row>
    <row r="41" ht="15.75" customHeight="1">
      <c r="A41" s="17">
        <v>40.0</v>
      </c>
      <c r="B41" s="17" t="s">
        <v>87</v>
      </c>
      <c r="C41" s="21">
        <v>0.012858796296296297</v>
      </c>
      <c r="D41" s="19" t="s">
        <v>6</v>
      </c>
      <c r="G41" s="16"/>
    </row>
    <row r="42" ht="15.75" customHeight="1">
      <c r="A42" s="17">
        <v>41.0</v>
      </c>
      <c r="B42" s="17" t="s">
        <v>88</v>
      </c>
      <c r="C42" s="21">
        <v>0.008622685185185185</v>
      </c>
      <c r="D42" s="19" t="s">
        <v>6</v>
      </c>
      <c r="G42" s="16"/>
    </row>
    <row r="43" ht="15.75" customHeight="1">
      <c r="A43" s="17">
        <v>42.0</v>
      </c>
      <c r="B43" s="17" t="s">
        <v>89</v>
      </c>
      <c r="C43" s="21">
        <v>0.006168981481481482</v>
      </c>
      <c r="D43" s="19" t="s">
        <v>6</v>
      </c>
      <c r="G43" s="16"/>
    </row>
    <row r="44" ht="15.75" customHeight="1">
      <c r="A44" s="17">
        <v>43.0</v>
      </c>
      <c r="B44" s="17" t="s">
        <v>90</v>
      </c>
      <c r="C44" s="21">
        <v>0.008125</v>
      </c>
      <c r="D44" s="19" t="s">
        <v>6</v>
      </c>
      <c r="G44" s="16"/>
    </row>
    <row r="45" ht="15.75" customHeight="1">
      <c r="A45" s="17">
        <v>44.0</v>
      </c>
      <c r="B45" s="17" t="s">
        <v>91</v>
      </c>
      <c r="C45" s="21">
        <v>0.0033449074074074076</v>
      </c>
      <c r="D45" s="19" t="s">
        <v>6</v>
      </c>
      <c r="G45" s="16"/>
    </row>
    <row r="46" ht="15.75" customHeight="1">
      <c r="A46" s="17">
        <v>45.0</v>
      </c>
      <c r="B46" s="17" t="s">
        <v>92</v>
      </c>
      <c r="C46" s="21">
        <v>0.0043518518518518515</v>
      </c>
      <c r="D46" s="19" t="s">
        <v>6</v>
      </c>
      <c r="G46" s="16"/>
    </row>
    <row r="47" ht="15.75" customHeight="1">
      <c r="A47" s="17">
        <v>46.0</v>
      </c>
      <c r="B47" s="17" t="s">
        <v>93</v>
      </c>
      <c r="C47" s="21">
        <v>0.0028472222222222223</v>
      </c>
      <c r="D47" s="19" t="s">
        <v>6</v>
      </c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86.63"/>
    <col customWidth="1" min="3" max="3" width="21.38"/>
    <col customWidth="1" min="4" max="4" width="13.88"/>
    <col customWidth="1" min="5" max="5" width="6.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13</v>
      </c>
      <c r="C2" s="18">
        <v>0.0</v>
      </c>
      <c r="D2" s="19" t="s">
        <v>6</v>
      </c>
      <c r="G2" s="20" t="s">
        <v>14</v>
      </c>
    </row>
    <row r="3">
      <c r="A3" s="17">
        <v>2.0</v>
      </c>
      <c r="B3" s="17" t="s">
        <v>94</v>
      </c>
      <c r="C3" s="18">
        <v>0.0</v>
      </c>
      <c r="D3" s="19" t="s">
        <v>6</v>
      </c>
      <c r="G3" s="22">
        <f>SUM(C2:C1000)</f>
        <v>0.5457060185</v>
      </c>
    </row>
    <row r="4">
      <c r="A4" s="17">
        <v>3.0</v>
      </c>
      <c r="B4" s="17" t="s">
        <v>95</v>
      </c>
      <c r="C4" s="21">
        <v>0.0053125</v>
      </c>
      <c r="D4" s="19" t="s">
        <v>6</v>
      </c>
      <c r="G4" s="16"/>
    </row>
    <row r="5">
      <c r="A5" s="17">
        <v>4.0</v>
      </c>
      <c r="B5" s="17" t="s">
        <v>96</v>
      </c>
      <c r="C5" s="21">
        <v>0.003449074074074074</v>
      </c>
      <c r="D5" s="19" t="s">
        <v>6</v>
      </c>
      <c r="G5" s="19" t="s">
        <v>6</v>
      </c>
    </row>
    <row r="6">
      <c r="A6" s="17">
        <v>5.0</v>
      </c>
      <c r="B6" s="17" t="s">
        <v>97</v>
      </c>
      <c r="C6" s="21">
        <v>0.0061574074074074074</v>
      </c>
      <c r="D6" s="19" t="s">
        <v>6</v>
      </c>
      <c r="G6" s="23">
        <f>SUMIF(D:D,G5,C:C)</f>
        <v>0.192337963</v>
      </c>
    </row>
    <row r="7">
      <c r="A7" s="17">
        <v>6.0</v>
      </c>
      <c r="B7" s="17" t="s">
        <v>98</v>
      </c>
      <c r="C7" s="21">
        <v>0.0020486111111111113</v>
      </c>
      <c r="D7" s="19" t="s">
        <v>6</v>
      </c>
      <c r="G7" s="16"/>
    </row>
    <row r="8">
      <c r="A8" s="17">
        <v>7.0</v>
      </c>
      <c r="B8" s="17" t="s">
        <v>99</v>
      </c>
      <c r="C8" s="21">
        <v>0.004872685185185185</v>
      </c>
      <c r="D8" s="19" t="s">
        <v>6</v>
      </c>
      <c r="G8" s="17" t="s">
        <v>7</v>
      </c>
    </row>
    <row r="9">
      <c r="A9" s="17">
        <v>8.0</v>
      </c>
      <c r="B9" s="17" t="s">
        <v>100</v>
      </c>
      <c r="C9" s="21">
        <v>0.005833333333333334</v>
      </c>
      <c r="D9" s="19" t="s">
        <v>6</v>
      </c>
      <c r="G9" s="23">
        <f>SUMIF(D:D,G8,C:C)</f>
        <v>0.3533680556</v>
      </c>
    </row>
    <row r="10">
      <c r="A10" s="17">
        <v>9.0</v>
      </c>
      <c r="B10" s="17" t="s">
        <v>101</v>
      </c>
      <c r="C10" s="21">
        <v>0.007523148148148148</v>
      </c>
      <c r="D10" s="19" t="s">
        <v>6</v>
      </c>
      <c r="G10" s="16"/>
    </row>
    <row r="11">
      <c r="A11" s="17">
        <v>10.0</v>
      </c>
      <c r="B11" s="17" t="s">
        <v>102</v>
      </c>
      <c r="C11" s="21">
        <v>0.007222222222222222</v>
      </c>
      <c r="D11" s="19" t="s">
        <v>6</v>
      </c>
      <c r="G11" s="16"/>
    </row>
    <row r="12">
      <c r="A12" s="17">
        <v>11.0</v>
      </c>
      <c r="B12" s="17" t="s">
        <v>103</v>
      </c>
      <c r="C12" s="21">
        <v>0.0038773148148148148</v>
      </c>
      <c r="D12" s="19" t="s">
        <v>6</v>
      </c>
      <c r="G12" s="16"/>
    </row>
    <row r="13">
      <c r="A13" s="17">
        <v>12.0</v>
      </c>
      <c r="B13" s="17" t="s">
        <v>104</v>
      </c>
      <c r="C13" s="21">
        <v>0.006678240740740741</v>
      </c>
      <c r="D13" s="19" t="s">
        <v>6</v>
      </c>
      <c r="G13" s="16"/>
    </row>
    <row r="14">
      <c r="A14" s="17">
        <v>13.0</v>
      </c>
      <c r="B14" s="17" t="s">
        <v>105</v>
      </c>
      <c r="C14" s="21">
        <v>0.006342592592592592</v>
      </c>
      <c r="D14" s="19" t="s">
        <v>6</v>
      </c>
      <c r="G14" s="16"/>
    </row>
    <row r="15">
      <c r="A15" s="17">
        <v>14.0</v>
      </c>
      <c r="B15" s="17" t="s">
        <v>106</v>
      </c>
      <c r="C15" s="21">
        <v>0.007743055555555556</v>
      </c>
      <c r="D15" s="19" t="s">
        <v>6</v>
      </c>
      <c r="G15" s="16"/>
    </row>
    <row r="16">
      <c r="A16" s="17">
        <v>15.0</v>
      </c>
      <c r="B16" s="17" t="s">
        <v>107</v>
      </c>
      <c r="C16" s="21">
        <v>0.009340277777777777</v>
      </c>
      <c r="D16" s="19" t="s">
        <v>6</v>
      </c>
      <c r="G16" s="16"/>
    </row>
    <row r="17">
      <c r="A17" s="17">
        <v>16.0</v>
      </c>
      <c r="B17" s="17" t="s">
        <v>108</v>
      </c>
      <c r="C17" s="21">
        <v>0.0025</v>
      </c>
      <c r="D17" s="19" t="s">
        <v>6</v>
      </c>
      <c r="G17" s="16"/>
    </row>
    <row r="18">
      <c r="A18" s="17">
        <v>17.0</v>
      </c>
      <c r="B18" s="17" t="s">
        <v>109</v>
      </c>
      <c r="C18" s="21">
        <v>0.0046875</v>
      </c>
      <c r="D18" s="19" t="s">
        <v>6</v>
      </c>
      <c r="G18" s="16"/>
    </row>
    <row r="19">
      <c r="A19" s="17">
        <v>18.0</v>
      </c>
      <c r="B19" s="17" t="s">
        <v>110</v>
      </c>
      <c r="C19" s="21">
        <v>0.0052430555555555555</v>
      </c>
      <c r="D19" s="19" t="s">
        <v>6</v>
      </c>
      <c r="G19" s="16"/>
    </row>
    <row r="20">
      <c r="A20" s="17">
        <v>19.0</v>
      </c>
      <c r="B20" s="17" t="s">
        <v>111</v>
      </c>
      <c r="C20" s="21">
        <v>0.008275462962962964</v>
      </c>
      <c r="D20" s="19" t="s">
        <v>6</v>
      </c>
      <c r="G20" s="16"/>
    </row>
    <row r="21" ht="15.75" customHeight="1">
      <c r="A21" s="17">
        <v>20.0</v>
      </c>
      <c r="B21" s="17" t="s">
        <v>112</v>
      </c>
      <c r="C21" s="21">
        <v>0.00494212962962963</v>
      </c>
      <c r="D21" s="19" t="s">
        <v>6</v>
      </c>
      <c r="G21" s="16"/>
    </row>
    <row r="22" ht="15.75" customHeight="1">
      <c r="A22" s="17">
        <v>21.0</v>
      </c>
      <c r="B22" s="17" t="s">
        <v>113</v>
      </c>
      <c r="C22" s="21">
        <v>0.0011111111111111111</v>
      </c>
      <c r="D22" s="19" t="s">
        <v>6</v>
      </c>
      <c r="G22" s="16"/>
    </row>
    <row r="23" ht="15.75" customHeight="1">
      <c r="A23" s="17">
        <v>22.0</v>
      </c>
      <c r="B23" s="17" t="s">
        <v>114</v>
      </c>
      <c r="C23" s="21">
        <v>0.003125</v>
      </c>
      <c r="D23" s="19" t="s">
        <v>6</v>
      </c>
      <c r="G23" s="16"/>
    </row>
    <row r="24" ht="15.75" customHeight="1">
      <c r="A24" s="17">
        <v>23.0</v>
      </c>
      <c r="B24" s="17" t="s">
        <v>115</v>
      </c>
      <c r="C24" s="21">
        <v>0.004247685185185185</v>
      </c>
      <c r="D24" s="19" t="s">
        <v>6</v>
      </c>
      <c r="G24" s="16"/>
    </row>
    <row r="25" ht="15.75" customHeight="1">
      <c r="A25" s="17">
        <v>24.0</v>
      </c>
      <c r="B25" s="17" t="s">
        <v>116</v>
      </c>
      <c r="C25" s="21">
        <v>0.003449074074074074</v>
      </c>
      <c r="D25" s="19" t="s">
        <v>6</v>
      </c>
      <c r="G25" s="16"/>
    </row>
    <row r="26" ht="15.75" customHeight="1">
      <c r="A26" s="17">
        <v>25.0</v>
      </c>
      <c r="B26" s="17" t="s">
        <v>117</v>
      </c>
      <c r="C26" s="21">
        <v>0.0028935185185185184</v>
      </c>
      <c r="D26" s="19" t="s">
        <v>6</v>
      </c>
      <c r="G26" s="16"/>
    </row>
    <row r="27" ht="15.75" customHeight="1">
      <c r="A27" s="17">
        <v>26.0</v>
      </c>
      <c r="B27" s="17" t="s">
        <v>118</v>
      </c>
      <c r="C27" s="21">
        <v>0.003958333333333334</v>
      </c>
      <c r="D27" s="19" t="s">
        <v>6</v>
      </c>
      <c r="G27" s="16"/>
    </row>
    <row r="28" ht="15.75" customHeight="1">
      <c r="A28" s="17">
        <v>27.0</v>
      </c>
      <c r="B28" s="17" t="s">
        <v>119</v>
      </c>
      <c r="C28" s="21">
        <v>0.002650462962962963</v>
      </c>
      <c r="D28" s="19" t="s">
        <v>6</v>
      </c>
      <c r="G28" s="16"/>
    </row>
    <row r="29" ht="15.75" customHeight="1">
      <c r="A29" s="17">
        <v>28.0</v>
      </c>
      <c r="B29" s="17" t="s">
        <v>120</v>
      </c>
      <c r="C29" s="21">
        <v>0.005578703703703704</v>
      </c>
      <c r="D29" s="19" t="s">
        <v>6</v>
      </c>
      <c r="G29" s="16"/>
    </row>
    <row r="30" ht="15.75" customHeight="1">
      <c r="A30" s="17">
        <v>29.0</v>
      </c>
      <c r="B30" s="17" t="s">
        <v>121</v>
      </c>
      <c r="C30" s="21">
        <v>0.003726851851851852</v>
      </c>
      <c r="D30" s="19" t="s">
        <v>6</v>
      </c>
      <c r="G30" s="16"/>
    </row>
    <row r="31" ht="15.75" customHeight="1">
      <c r="A31" s="17">
        <v>30.0</v>
      </c>
      <c r="B31" s="17" t="s">
        <v>122</v>
      </c>
      <c r="C31" s="21">
        <v>0.013645833333333333</v>
      </c>
      <c r="D31" s="19" t="s">
        <v>6</v>
      </c>
      <c r="G31" s="16"/>
    </row>
    <row r="32" ht="15.75" customHeight="1">
      <c r="A32" s="17">
        <v>31.0</v>
      </c>
      <c r="B32" s="17" t="s">
        <v>123</v>
      </c>
      <c r="C32" s="21">
        <v>0.0013657407407407407</v>
      </c>
      <c r="D32" s="19" t="s">
        <v>6</v>
      </c>
      <c r="G32" s="16"/>
    </row>
    <row r="33" ht="15.75" customHeight="1">
      <c r="A33" s="17">
        <v>32.0</v>
      </c>
      <c r="B33" s="17" t="s">
        <v>124</v>
      </c>
      <c r="C33" s="21">
        <v>0.007592592592592593</v>
      </c>
      <c r="D33" s="19" t="s">
        <v>6</v>
      </c>
      <c r="G33" s="16"/>
    </row>
    <row r="34" ht="15.75" customHeight="1">
      <c r="A34" s="17">
        <v>33.0</v>
      </c>
      <c r="B34" s="17" t="s">
        <v>125</v>
      </c>
      <c r="C34" s="21">
        <v>0.010960648148148148</v>
      </c>
      <c r="D34" s="19" t="s">
        <v>6</v>
      </c>
      <c r="G34" s="16"/>
    </row>
    <row r="35" ht="15.75" customHeight="1">
      <c r="A35" s="17">
        <v>34.0</v>
      </c>
      <c r="B35" s="17" t="s">
        <v>126</v>
      </c>
      <c r="C35" s="21">
        <v>0.005914351851851852</v>
      </c>
      <c r="D35" s="19" t="s">
        <v>6</v>
      </c>
      <c r="G35" s="16"/>
    </row>
    <row r="36" ht="15.75" customHeight="1">
      <c r="A36" s="17">
        <v>35.0</v>
      </c>
      <c r="B36" s="17" t="s">
        <v>127</v>
      </c>
      <c r="C36" s="21">
        <v>0.002939814814814815</v>
      </c>
      <c r="D36" s="19" t="s">
        <v>6</v>
      </c>
      <c r="G36" s="16"/>
    </row>
    <row r="37" ht="15.75" customHeight="1">
      <c r="A37" s="17">
        <v>36.0</v>
      </c>
      <c r="B37" s="17" t="s">
        <v>128</v>
      </c>
      <c r="C37" s="21">
        <v>0.004826388888888889</v>
      </c>
      <c r="D37" s="19" t="s">
        <v>6</v>
      </c>
      <c r="G37" s="16"/>
    </row>
    <row r="38" ht="15.75" customHeight="1">
      <c r="A38" s="17">
        <v>37.0</v>
      </c>
      <c r="B38" s="17" t="s">
        <v>129</v>
      </c>
      <c r="C38" s="21">
        <v>0.0028935185185185184</v>
      </c>
      <c r="D38" s="19" t="s">
        <v>6</v>
      </c>
      <c r="G38" s="16"/>
    </row>
    <row r="39" ht="15.75" customHeight="1">
      <c r="A39" s="17">
        <v>38.0</v>
      </c>
      <c r="B39" s="17" t="s">
        <v>130</v>
      </c>
      <c r="C39" s="21">
        <v>0.00818287037037037</v>
      </c>
      <c r="D39" s="19" t="s">
        <v>6</v>
      </c>
      <c r="G39" s="16"/>
    </row>
    <row r="40" ht="15.75" customHeight="1">
      <c r="A40" s="17">
        <v>39.0</v>
      </c>
      <c r="B40" s="17" t="s">
        <v>131</v>
      </c>
      <c r="C40" s="21">
        <v>0.0012268518518518518</v>
      </c>
      <c r="D40" s="19" t="s">
        <v>6</v>
      </c>
      <c r="G40" s="16"/>
    </row>
    <row r="41" ht="15.75" customHeight="1">
      <c r="A41" s="17">
        <v>40.0</v>
      </c>
      <c r="B41" s="17" t="s">
        <v>132</v>
      </c>
      <c r="C41" s="21">
        <v>0.00125</v>
      </c>
      <c r="D41" s="17" t="s">
        <v>7</v>
      </c>
      <c r="G41" s="16"/>
    </row>
    <row r="42" ht="15.75" customHeight="1">
      <c r="A42" s="17">
        <v>41.0</v>
      </c>
      <c r="B42" s="17" t="s">
        <v>133</v>
      </c>
      <c r="C42" s="21">
        <v>0.016585648148148148</v>
      </c>
      <c r="D42" s="17" t="s">
        <v>7</v>
      </c>
      <c r="G42" s="16"/>
    </row>
    <row r="43" ht="15.75" customHeight="1">
      <c r="A43" s="17">
        <v>42.0</v>
      </c>
      <c r="B43" s="17" t="s">
        <v>134</v>
      </c>
      <c r="C43" s="21">
        <v>0.005451388888888889</v>
      </c>
      <c r="D43" s="17" t="s">
        <v>7</v>
      </c>
      <c r="G43" s="16"/>
    </row>
    <row r="44" ht="15.75" customHeight="1">
      <c r="A44" s="17">
        <v>43.0</v>
      </c>
      <c r="B44" s="17" t="s">
        <v>135</v>
      </c>
      <c r="C44" s="21">
        <v>0.006851851851851852</v>
      </c>
      <c r="D44" s="17" t="s">
        <v>7</v>
      </c>
      <c r="G44" s="16"/>
    </row>
    <row r="45" ht="15.75" customHeight="1">
      <c r="A45" s="17">
        <v>44.0</v>
      </c>
      <c r="B45" s="17" t="s">
        <v>136</v>
      </c>
      <c r="C45" s="21">
        <v>0.010578703703703703</v>
      </c>
      <c r="D45" s="17" t="s">
        <v>7</v>
      </c>
      <c r="G45" s="16"/>
    </row>
    <row r="46" ht="15.75" customHeight="1">
      <c r="A46" s="17">
        <v>45.0</v>
      </c>
      <c r="B46" s="17" t="s">
        <v>137</v>
      </c>
      <c r="C46" s="21">
        <v>0.003599537037037037</v>
      </c>
      <c r="D46" s="17" t="s">
        <v>7</v>
      </c>
      <c r="G46" s="16"/>
    </row>
    <row r="47" ht="15.75" customHeight="1">
      <c r="A47" s="17">
        <v>46.0</v>
      </c>
      <c r="B47" s="17" t="s">
        <v>138</v>
      </c>
      <c r="C47" s="21">
        <v>0.008981481481481481</v>
      </c>
      <c r="D47" s="17" t="s">
        <v>7</v>
      </c>
      <c r="G47" s="16"/>
    </row>
    <row r="48" ht="15.75" customHeight="1">
      <c r="A48" s="17">
        <v>47.0</v>
      </c>
      <c r="B48" s="17" t="s">
        <v>139</v>
      </c>
      <c r="C48" s="21">
        <v>0.015219907407407408</v>
      </c>
      <c r="D48" s="17" t="s">
        <v>7</v>
      </c>
      <c r="G48" s="16"/>
    </row>
    <row r="49" ht="15.75" customHeight="1">
      <c r="A49" s="17">
        <v>48.0</v>
      </c>
      <c r="B49" s="17" t="s">
        <v>140</v>
      </c>
      <c r="C49" s="21">
        <v>0.006099537037037037</v>
      </c>
      <c r="D49" s="17" t="s">
        <v>7</v>
      </c>
      <c r="G49" s="16"/>
    </row>
    <row r="50" ht="15.75" customHeight="1">
      <c r="A50" s="17">
        <v>49.0</v>
      </c>
      <c r="B50" s="17" t="s">
        <v>141</v>
      </c>
      <c r="C50" s="21">
        <v>0.014722222222222222</v>
      </c>
      <c r="D50" s="17" t="s">
        <v>7</v>
      </c>
      <c r="G50" s="16"/>
    </row>
    <row r="51" ht="15.75" customHeight="1">
      <c r="A51" s="17">
        <v>50.0</v>
      </c>
      <c r="B51" s="17" t="s">
        <v>142</v>
      </c>
      <c r="C51" s="21">
        <v>0.011655092592592592</v>
      </c>
      <c r="D51" s="17" t="s">
        <v>7</v>
      </c>
      <c r="G51" s="16"/>
    </row>
    <row r="52" ht="15.75" customHeight="1">
      <c r="A52" s="17">
        <v>51.0</v>
      </c>
      <c r="B52" s="17" t="s">
        <v>143</v>
      </c>
      <c r="C52" s="21">
        <v>0.0012268518518518518</v>
      </c>
      <c r="D52" s="17" t="s">
        <v>7</v>
      </c>
      <c r="G52" s="16"/>
    </row>
    <row r="53" ht="15.75" customHeight="1">
      <c r="A53" s="17">
        <v>52.0</v>
      </c>
      <c r="B53" s="17" t="s">
        <v>144</v>
      </c>
      <c r="C53" s="21">
        <v>0.003275462962962963</v>
      </c>
      <c r="D53" s="17" t="s">
        <v>7</v>
      </c>
      <c r="G53" s="16"/>
    </row>
    <row r="54" ht="15.75" customHeight="1">
      <c r="A54" s="17">
        <v>53.0</v>
      </c>
      <c r="B54" s="17" t="s">
        <v>145</v>
      </c>
      <c r="C54" s="21">
        <v>0.004907407407407407</v>
      </c>
      <c r="D54" s="17" t="s">
        <v>7</v>
      </c>
      <c r="G54" s="16"/>
    </row>
    <row r="55" ht="15.75" customHeight="1">
      <c r="A55" s="17">
        <v>54.0</v>
      </c>
      <c r="B55" s="17" t="s">
        <v>146</v>
      </c>
      <c r="C55" s="21">
        <v>0.006840277777777778</v>
      </c>
      <c r="D55" s="17" t="s">
        <v>7</v>
      </c>
      <c r="G55" s="16"/>
    </row>
    <row r="56" ht="15.75" customHeight="1">
      <c r="A56" s="17">
        <v>55.0</v>
      </c>
      <c r="B56" s="17" t="s">
        <v>147</v>
      </c>
      <c r="C56" s="21">
        <v>0.0075</v>
      </c>
      <c r="D56" s="17" t="s">
        <v>7</v>
      </c>
      <c r="G56" s="16"/>
    </row>
    <row r="57" ht="15.75" customHeight="1">
      <c r="A57" s="17">
        <v>56.0</v>
      </c>
      <c r="B57" s="17" t="s">
        <v>148</v>
      </c>
      <c r="C57" s="21">
        <v>0.003125</v>
      </c>
      <c r="D57" s="17" t="s">
        <v>7</v>
      </c>
      <c r="G57" s="16"/>
    </row>
    <row r="58" ht="15.75" customHeight="1">
      <c r="A58" s="17">
        <v>57.0</v>
      </c>
      <c r="B58" s="17" t="s">
        <v>149</v>
      </c>
      <c r="C58" s="21">
        <v>0.0026967592592592594</v>
      </c>
      <c r="D58" s="17" t="s">
        <v>7</v>
      </c>
      <c r="G58" s="16"/>
    </row>
    <row r="59" ht="15.75" customHeight="1">
      <c r="A59" s="17">
        <v>58.0</v>
      </c>
      <c r="B59" s="17" t="s">
        <v>150</v>
      </c>
      <c r="C59" s="21">
        <v>0.0061574074074074074</v>
      </c>
      <c r="D59" s="17" t="s">
        <v>7</v>
      </c>
      <c r="G59" s="16"/>
    </row>
    <row r="60" ht="15.75" customHeight="1">
      <c r="A60" s="17">
        <v>59.0</v>
      </c>
      <c r="B60" s="17" t="s">
        <v>151</v>
      </c>
      <c r="C60" s="21">
        <v>0.0032291666666666666</v>
      </c>
      <c r="D60" s="17" t="s">
        <v>7</v>
      </c>
      <c r="G60" s="16"/>
    </row>
    <row r="61" ht="15.75" customHeight="1">
      <c r="A61" s="17">
        <v>60.0</v>
      </c>
      <c r="B61" s="17" t="s">
        <v>152</v>
      </c>
      <c r="C61" s="21">
        <v>0.0022685185185185187</v>
      </c>
      <c r="D61" s="17" t="s">
        <v>7</v>
      </c>
      <c r="G61" s="16"/>
    </row>
    <row r="62" ht="15.75" customHeight="1">
      <c r="A62" s="17">
        <v>61.0</v>
      </c>
      <c r="B62" s="17" t="s">
        <v>153</v>
      </c>
      <c r="C62" s="21">
        <v>0.005046296296296296</v>
      </c>
      <c r="D62" s="17" t="s">
        <v>7</v>
      </c>
      <c r="G62" s="16"/>
    </row>
    <row r="63" ht="15.75" customHeight="1">
      <c r="A63" s="17">
        <v>62.0</v>
      </c>
      <c r="B63" s="17" t="s">
        <v>154</v>
      </c>
      <c r="C63" s="21">
        <v>0.0030439814814814813</v>
      </c>
      <c r="D63" s="17" t="s">
        <v>7</v>
      </c>
      <c r="G63" s="16"/>
    </row>
    <row r="64" ht="15.75" customHeight="1">
      <c r="A64" s="17">
        <v>63.0</v>
      </c>
      <c r="B64" s="17" t="s">
        <v>155</v>
      </c>
      <c r="C64" s="21">
        <v>0.002025462962962963</v>
      </c>
      <c r="D64" s="17" t="s">
        <v>7</v>
      </c>
      <c r="G64" s="16"/>
    </row>
    <row r="65" ht="15.75" customHeight="1">
      <c r="A65" s="17">
        <v>64.0</v>
      </c>
      <c r="B65" s="17" t="s">
        <v>156</v>
      </c>
      <c r="C65" s="21">
        <v>0.005023148148148148</v>
      </c>
      <c r="D65" s="17" t="s">
        <v>7</v>
      </c>
      <c r="G65" s="16"/>
    </row>
    <row r="66" ht="15.75" customHeight="1">
      <c r="A66" s="17">
        <v>65.0</v>
      </c>
      <c r="B66" s="17" t="s">
        <v>157</v>
      </c>
      <c r="C66" s="21">
        <v>0.005439814814814815</v>
      </c>
      <c r="D66" s="17" t="s">
        <v>7</v>
      </c>
      <c r="G66" s="16"/>
    </row>
    <row r="67" ht="15.75" customHeight="1">
      <c r="A67" s="17">
        <v>66.0</v>
      </c>
      <c r="B67" s="17" t="s">
        <v>158</v>
      </c>
      <c r="C67" s="21">
        <v>0.005358796296296296</v>
      </c>
      <c r="D67" s="17" t="s">
        <v>7</v>
      </c>
      <c r="G67" s="16"/>
    </row>
    <row r="68" ht="15.75" customHeight="1">
      <c r="A68" s="17">
        <v>67.0</v>
      </c>
      <c r="B68" s="17" t="s">
        <v>159</v>
      </c>
      <c r="C68" s="21">
        <v>0.002349537037037037</v>
      </c>
      <c r="D68" s="17" t="s">
        <v>7</v>
      </c>
      <c r="G68" s="16"/>
    </row>
    <row r="69" ht="15.75" customHeight="1">
      <c r="A69" s="17">
        <v>68.0</v>
      </c>
      <c r="B69" s="17" t="s">
        <v>160</v>
      </c>
      <c r="C69" s="21">
        <v>0.0016666666666666668</v>
      </c>
      <c r="D69" s="17" t="s">
        <v>7</v>
      </c>
      <c r="G69" s="16"/>
    </row>
    <row r="70" ht="15.75" customHeight="1">
      <c r="A70" s="17">
        <v>69.0</v>
      </c>
      <c r="B70" s="17" t="s">
        <v>161</v>
      </c>
      <c r="C70" s="21">
        <v>0.0070023148148148145</v>
      </c>
      <c r="D70" s="17" t="s">
        <v>7</v>
      </c>
      <c r="G70" s="16"/>
    </row>
    <row r="71" ht="15.75" customHeight="1">
      <c r="A71" s="17">
        <v>70.0</v>
      </c>
      <c r="B71" s="17" t="s">
        <v>162</v>
      </c>
      <c r="C71" s="21">
        <v>0.0038773148148148148</v>
      </c>
      <c r="D71" s="17" t="s">
        <v>7</v>
      </c>
      <c r="G71" s="16"/>
    </row>
    <row r="72" ht="15.75" customHeight="1">
      <c r="A72" s="17">
        <v>71.0</v>
      </c>
      <c r="B72" s="17" t="s">
        <v>163</v>
      </c>
      <c r="C72" s="21">
        <v>0.004560185185185185</v>
      </c>
      <c r="D72" s="17" t="s">
        <v>7</v>
      </c>
      <c r="G72" s="16"/>
    </row>
    <row r="73" ht="15.75" customHeight="1">
      <c r="A73" s="17">
        <v>72.0</v>
      </c>
      <c r="B73" s="17" t="s">
        <v>164</v>
      </c>
      <c r="C73" s="21">
        <v>0.007893518518518518</v>
      </c>
      <c r="D73" s="17" t="s">
        <v>7</v>
      </c>
      <c r="G73" s="16"/>
    </row>
    <row r="74" ht="15.75" customHeight="1">
      <c r="A74" s="17">
        <v>73.0</v>
      </c>
      <c r="B74" s="17" t="s">
        <v>165</v>
      </c>
      <c r="C74" s="21">
        <v>0.004039351851851852</v>
      </c>
      <c r="D74" s="17" t="s">
        <v>7</v>
      </c>
      <c r="G74" s="16"/>
    </row>
    <row r="75" ht="15.75" customHeight="1">
      <c r="A75" s="17">
        <v>74.0</v>
      </c>
      <c r="B75" s="17" t="s">
        <v>166</v>
      </c>
      <c r="C75" s="21">
        <v>0.0027083333333333334</v>
      </c>
      <c r="D75" s="17" t="s">
        <v>7</v>
      </c>
      <c r="G75" s="16"/>
    </row>
    <row r="76" ht="15.75" customHeight="1">
      <c r="A76" s="17">
        <v>75.0</v>
      </c>
      <c r="B76" s="17" t="s">
        <v>167</v>
      </c>
      <c r="C76" s="21">
        <v>0.004814814814814815</v>
      </c>
      <c r="D76" s="17" t="s">
        <v>7</v>
      </c>
      <c r="G76" s="16"/>
    </row>
    <row r="77" ht="15.75" customHeight="1">
      <c r="A77" s="17">
        <v>76.0</v>
      </c>
      <c r="B77" s="17" t="s">
        <v>168</v>
      </c>
      <c r="C77" s="21">
        <v>0.007962962962962963</v>
      </c>
      <c r="D77" s="17" t="s">
        <v>7</v>
      </c>
      <c r="G77" s="16"/>
    </row>
    <row r="78" ht="15.75" customHeight="1">
      <c r="A78" s="17">
        <v>77.0</v>
      </c>
      <c r="B78" s="17" t="s">
        <v>169</v>
      </c>
      <c r="C78" s="21">
        <v>0.013136574074074075</v>
      </c>
      <c r="D78" s="17" t="s">
        <v>7</v>
      </c>
      <c r="G78" s="16"/>
    </row>
    <row r="79" ht="15.75" customHeight="1">
      <c r="A79" s="17">
        <v>78.0</v>
      </c>
      <c r="B79" s="17" t="s">
        <v>170</v>
      </c>
      <c r="C79" s="21">
        <v>0.0015625</v>
      </c>
      <c r="D79" s="17" t="s">
        <v>7</v>
      </c>
      <c r="G79" s="16"/>
    </row>
    <row r="80" ht="15.75" customHeight="1">
      <c r="A80" s="17">
        <v>79.0</v>
      </c>
      <c r="B80" s="17" t="s">
        <v>171</v>
      </c>
      <c r="C80" s="21">
        <v>0.00318287037037037</v>
      </c>
      <c r="D80" s="17" t="s">
        <v>7</v>
      </c>
      <c r="G80" s="16"/>
    </row>
    <row r="81" ht="15.75" customHeight="1">
      <c r="A81" s="17">
        <v>80.0</v>
      </c>
      <c r="B81" s="17" t="s">
        <v>172</v>
      </c>
      <c r="C81" s="21">
        <v>0.0067708333333333336</v>
      </c>
      <c r="D81" s="17" t="s">
        <v>7</v>
      </c>
      <c r="G81" s="16"/>
    </row>
    <row r="82" ht="15.75" customHeight="1">
      <c r="A82" s="17">
        <v>81.0</v>
      </c>
      <c r="B82" s="17" t="s">
        <v>173</v>
      </c>
      <c r="C82" s="21">
        <v>0.006712962962962963</v>
      </c>
      <c r="D82" s="17" t="s">
        <v>7</v>
      </c>
      <c r="G82" s="16"/>
    </row>
    <row r="83" ht="15.75" customHeight="1">
      <c r="A83" s="17">
        <v>82.0</v>
      </c>
      <c r="B83" s="17" t="s">
        <v>174</v>
      </c>
      <c r="C83" s="21">
        <v>0.007106481481481482</v>
      </c>
      <c r="D83" s="17" t="s">
        <v>7</v>
      </c>
      <c r="G83" s="16"/>
    </row>
    <row r="84" ht="15.75" customHeight="1">
      <c r="A84" s="17">
        <v>83.0</v>
      </c>
      <c r="B84" s="17" t="s">
        <v>175</v>
      </c>
      <c r="C84" s="21">
        <v>0.003761574074074074</v>
      </c>
      <c r="D84" s="17" t="s">
        <v>7</v>
      </c>
      <c r="G84" s="16"/>
    </row>
    <row r="85" ht="15.75" customHeight="1">
      <c r="A85" s="17">
        <v>84.0</v>
      </c>
      <c r="B85" s="17" t="s">
        <v>176</v>
      </c>
      <c r="C85" s="21">
        <v>0.0018402777777777777</v>
      </c>
      <c r="D85" s="17" t="s">
        <v>7</v>
      </c>
      <c r="G85" s="16"/>
    </row>
    <row r="86" ht="15.75" customHeight="1">
      <c r="A86" s="17">
        <v>85.0</v>
      </c>
      <c r="B86" s="17" t="s">
        <v>177</v>
      </c>
      <c r="C86" s="21">
        <v>0.009849537037037037</v>
      </c>
      <c r="D86" s="17" t="s">
        <v>7</v>
      </c>
      <c r="G86" s="16"/>
    </row>
    <row r="87" ht="15.75" customHeight="1">
      <c r="A87" s="17">
        <v>86.0</v>
      </c>
      <c r="B87" s="17" t="s">
        <v>178</v>
      </c>
      <c r="C87" s="21">
        <v>0.006145833333333333</v>
      </c>
      <c r="D87" s="17" t="s">
        <v>7</v>
      </c>
      <c r="G87" s="16"/>
    </row>
    <row r="88" ht="15.75" customHeight="1">
      <c r="A88" s="17">
        <v>87.0</v>
      </c>
      <c r="B88" s="17" t="s">
        <v>179</v>
      </c>
      <c r="C88" s="21">
        <v>0.0036805555555555554</v>
      </c>
      <c r="D88" s="17" t="s">
        <v>7</v>
      </c>
      <c r="G88" s="16"/>
    </row>
    <row r="89" ht="15.75" customHeight="1">
      <c r="A89" s="17">
        <v>88.0</v>
      </c>
      <c r="B89" s="17" t="s">
        <v>180</v>
      </c>
      <c r="C89" s="21">
        <v>0.006215277777777778</v>
      </c>
      <c r="D89" s="17" t="s">
        <v>7</v>
      </c>
      <c r="G89" s="16"/>
    </row>
    <row r="90" ht="15.75" customHeight="1">
      <c r="A90" s="17">
        <v>89.0</v>
      </c>
      <c r="B90" s="17" t="s">
        <v>181</v>
      </c>
      <c r="C90" s="21">
        <v>0.003298611111111111</v>
      </c>
      <c r="D90" s="17" t="s">
        <v>7</v>
      </c>
      <c r="G90" s="16"/>
    </row>
    <row r="91" ht="15.75" customHeight="1">
      <c r="A91" s="17">
        <v>90.0</v>
      </c>
      <c r="B91" s="17" t="s">
        <v>182</v>
      </c>
      <c r="C91" s="21">
        <v>0.0030208333333333333</v>
      </c>
      <c r="D91" s="17" t="s">
        <v>7</v>
      </c>
      <c r="G91" s="16"/>
    </row>
    <row r="92" ht="15.75" customHeight="1">
      <c r="A92" s="17">
        <v>91.0</v>
      </c>
      <c r="B92" s="17" t="s">
        <v>183</v>
      </c>
      <c r="C92" s="21">
        <v>0.0022916666666666667</v>
      </c>
      <c r="D92" s="17" t="s">
        <v>7</v>
      </c>
      <c r="G92" s="16"/>
    </row>
    <row r="93" ht="15.75" customHeight="1">
      <c r="A93" s="17">
        <v>92.0</v>
      </c>
      <c r="B93" s="17" t="s">
        <v>184</v>
      </c>
      <c r="C93" s="21">
        <v>0.0036226851851851854</v>
      </c>
      <c r="D93" s="17" t="s">
        <v>7</v>
      </c>
      <c r="G93" s="16"/>
    </row>
    <row r="94" ht="15.75" customHeight="1">
      <c r="A94" s="17">
        <v>93.0</v>
      </c>
      <c r="B94" s="17" t="s">
        <v>185</v>
      </c>
      <c r="C94" s="21">
        <v>0.003148148148148148</v>
      </c>
      <c r="D94" s="17" t="s">
        <v>7</v>
      </c>
      <c r="G94" s="16"/>
    </row>
    <row r="95" ht="15.75" customHeight="1">
      <c r="A95" s="17">
        <v>94.0</v>
      </c>
      <c r="B95" s="17" t="s">
        <v>186</v>
      </c>
      <c r="C95" s="21">
        <v>0.0036226851851851854</v>
      </c>
      <c r="D95" s="17" t="s">
        <v>7</v>
      </c>
      <c r="G95" s="16"/>
    </row>
    <row r="96" ht="15.75" customHeight="1">
      <c r="A96" s="17">
        <v>95.0</v>
      </c>
      <c r="B96" s="17" t="s">
        <v>187</v>
      </c>
      <c r="C96" s="21">
        <v>0.004629629629629629</v>
      </c>
      <c r="D96" s="17" t="s">
        <v>7</v>
      </c>
      <c r="G96" s="16"/>
    </row>
    <row r="97" ht="15.75" customHeight="1">
      <c r="A97" s="17">
        <v>96.0</v>
      </c>
      <c r="B97" s="17" t="s">
        <v>188</v>
      </c>
      <c r="C97" s="21">
        <v>0.002662037037037037</v>
      </c>
      <c r="D97" s="17" t="s">
        <v>7</v>
      </c>
      <c r="G97" s="16"/>
    </row>
    <row r="98" ht="15.75" customHeight="1">
      <c r="A98" s="17">
        <v>97.0</v>
      </c>
      <c r="B98" s="17" t="s">
        <v>189</v>
      </c>
      <c r="C98" s="21">
        <v>0.003414351851851852</v>
      </c>
      <c r="D98" s="17" t="s">
        <v>7</v>
      </c>
      <c r="G98" s="16"/>
    </row>
    <row r="99" ht="15.75" customHeight="1">
      <c r="A99" s="17">
        <v>98.0</v>
      </c>
      <c r="B99" s="17" t="s">
        <v>190</v>
      </c>
      <c r="C99" s="21">
        <v>0.0036574074074074074</v>
      </c>
      <c r="D99" s="17" t="s">
        <v>7</v>
      </c>
      <c r="G99" s="16"/>
    </row>
    <row r="100" ht="15.75" customHeight="1">
      <c r="A100" s="17">
        <v>99.0</v>
      </c>
      <c r="B100" s="17" t="s">
        <v>191</v>
      </c>
      <c r="C100" s="21">
        <v>0.005162037037037037</v>
      </c>
      <c r="D100" s="17" t="s">
        <v>7</v>
      </c>
      <c r="G100" s="16"/>
    </row>
    <row r="101" ht="15.75" customHeight="1">
      <c r="A101" s="17">
        <v>100.0</v>
      </c>
      <c r="B101" s="17" t="s">
        <v>192</v>
      </c>
      <c r="C101" s="21">
        <v>0.0060416666666666665</v>
      </c>
      <c r="D101" s="17" t="s">
        <v>7</v>
      </c>
      <c r="G101" s="16"/>
    </row>
    <row r="102" ht="15.75" customHeight="1">
      <c r="A102" s="17">
        <v>101.0</v>
      </c>
      <c r="B102" s="17" t="s">
        <v>193</v>
      </c>
      <c r="C102" s="21">
        <v>0.0021759259259259258</v>
      </c>
      <c r="D102" s="17" t="s">
        <v>7</v>
      </c>
      <c r="G102" s="16"/>
    </row>
    <row r="103" ht="15.75" customHeight="1">
      <c r="A103" s="17">
        <v>102.0</v>
      </c>
      <c r="B103" s="17" t="s">
        <v>194</v>
      </c>
      <c r="C103" s="21">
        <v>0.003715277777777778</v>
      </c>
      <c r="D103" s="17" t="s">
        <v>7</v>
      </c>
      <c r="G103" s="16"/>
    </row>
    <row r="104" ht="15.75" customHeight="1">
      <c r="A104" s="17">
        <v>103.0</v>
      </c>
      <c r="B104" s="17" t="s">
        <v>195</v>
      </c>
      <c r="C104" s="21">
        <v>0.006215277777777778</v>
      </c>
      <c r="D104" s="17" t="s">
        <v>7</v>
      </c>
      <c r="G104" s="16"/>
    </row>
    <row r="105" ht="15.75" customHeight="1">
      <c r="A105" s="17">
        <v>104.0</v>
      </c>
      <c r="B105" s="17" t="s">
        <v>196</v>
      </c>
      <c r="C105" s="21">
        <v>0.0033333333333333335</v>
      </c>
      <c r="D105" s="17" t="s">
        <v>7</v>
      </c>
      <c r="G105" s="16"/>
    </row>
    <row r="106" ht="15.75" customHeight="1">
      <c r="A106" s="17">
        <v>105.0</v>
      </c>
      <c r="B106" s="17" t="s">
        <v>197</v>
      </c>
      <c r="C106" s="21">
        <v>0.008356481481481482</v>
      </c>
      <c r="D106" s="17" t="s">
        <v>7</v>
      </c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64.13"/>
    <col customWidth="1" min="3" max="3" width="21.38"/>
    <col customWidth="1" min="4" max="4" width="6.5"/>
    <col customWidth="1" min="7" max="7" width="13.0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198</v>
      </c>
      <c r="C2" s="18">
        <v>0.0</v>
      </c>
      <c r="D2" s="17" t="s">
        <v>7</v>
      </c>
      <c r="G2" s="20" t="s">
        <v>14</v>
      </c>
    </row>
    <row r="3">
      <c r="A3" s="17">
        <v>2.0</v>
      </c>
      <c r="B3" s="17" t="s">
        <v>199</v>
      </c>
      <c r="C3" s="18">
        <v>0.0</v>
      </c>
      <c r="D3" s="17" t="s">
        <v>7</v>
      </c>
      <c r="G3" s="22">
        <f>SUM(C2:C1000)</f>
        <v>0.2987615741</v>
      </c>
    </row>
    <row r="4">
      <c r="A4" s="17">
        <v>3.0</v>
      </c>
      <c r="B4" s="17" t="s">
        <v>200</v>
      </c>
      <c r="C4" s="18">
        <v>0.0</v>
      </c>
      <c r="D4" s="17" t="s">
        <v>7</v>
      </c>
      <c r="G4" s="16"/>
    </row>
    <row r="5">
      <c r="A5" s="17">
        <v>4.0</v>
      </c>
      <c r="B5" s="17" t="s">
        <v>201</v>
      </c>
      <c r="C5" s="18">
        <v>0.0</v>
      </c>
      <c r="D5" s="17" t="s">
        <v>7</v>
      </c>
      <c r="G5" s="19" t="s">
        <v>6</v>
      </c>
    </row>
    <row r="6">
      <c r="A6" s="17">
        <v>5.0</v>
      </c>
      <c r="B6" s="17" t="s">
        <v>202</v>
      </c>
      <c r="C6" s="18">
        <v>0.0</v>
      </c>
      <c r="D6" s="17" t="s">
        <v>7</v>
      </c>
      <c r="G6" s="23">
        <f>SUMIF(D:D,G5,C:C)</f>
        <v>0</v>
      </c>
    </row>
    <row r="7">
      <c r="A7" s="17">
        <v>6.0</v>
      </c>
      <c r="B7" s="17" t="s">
        <v>203</v>
      </c>
      <c r="C7" s="21">
        <v>0.002523148148148148</v>
      </c>
      <c r="D7" s="17" t="s">
        <v>7</v>
      </c>
      <c r="G7" s="16"/>
    </row>
    <row r="8">
      <c r="A8" s="17">
        <v>7.0</v>
      </c>
      <c r="B8" s="17" t="s">
        <v>204</v>
      </c>
      <c r="C8" s="21">
        <v>0.005381944444444444</v>
      </c>
      <c r="D8" s="17" t="s">
        <v>7</v>
      </c>
      <c r="G8" s="17" t="s">
        <v>7</v>
      </c>
    </row>
    <row r="9">
      <c r="A9" s="17">
        <v>8.0</v>
      </c>
      <c r="B9" s="17" t="s">
        <v>205</v>
      </c>
      <c r="C9" s="21">
        <v>0.005439814814814815</v>
      </c>
      <c r="D9" s="17" t="s">
        <v>7</v>
      </c>
      <c r="G9" s="23">
        <f>SUMIF(D:D,G8,C:C)</f>
        <v>0.2987615741</v>
      </c>
    </row>
    <row r="10">
      <c r="A10" s="17">
        <v>9.0</v>
      </c>
      <c r="B10" s="17" t="s">
        <v>206</v>
      </c>
      <c r="C10" s="21">
        <v>0.002361111111111111</v>
      </c>
      <c r="D10" s="17" t="s">
        <v>7</v>
      </c>
      <c r="G10" s="16"/>
    </row>
    <row r="11">
      <c r="A11" s="17">
        <v>10.0</v>
      </c>
      <c r="B11" s="17" t="s">
        <v>207</v>
      </c>
      <c r="C11" s="21">
        <v>0.00375</v>
      </c>
      <c r="D11" s="17" t="s">
        <v>7</v>
      </c>
      <c r="G11" s="16"/>
    </row>
    <row r="12">
      <c r="A12" s="17">
        <v>11.0</v>
      </c>
      <c r="B12" s="17" t="s">
        <v>208</v>
      </c>
      <c r="C12" s="21">
        <v>0.003263888888888889</v>
      </c>
      <c r="D12" s="17" t="s">
        <v>7</v>
      </c>
      <c r="G12" s="16"/>
    </row>
    <row r="13">
      <c r="A13" s="17">
        <v>12.0</v>
      </c>
      <c r="B13" s="17" t="s">
        <v>209</v>
      </c>
      <c r="C13" s="21">
        <v>0.003958333333333334</v>
      </c>
      <c r="D13" s="17" t="s">
        <v>7</v>
      </c>
      <c r="G13" s="16"/>
    </row>
    <row r="14">
      <c r="A14" s="17">
        <v>13.0</v>
      </c>
      <c r="B14" s="17" t="s">
        <v>210</v>
      </c>
      <c r="C14" s="21">
        <v>0.005162037037037037</v>
      </c>
      <c r="D14" s="17" t="s">
        <v>7</v>
      </c>
      <c r="G14" s="16"/>
    </row>
    <row r="15">
      <c r="A15" s="17">
        <v>14.0</v>
      </c>
      <c r="B15" s="17" t="s">
        <v>211</v>
      </c>
      <c r="C15" s="21">
        <v>0.003287037037037037</v>
      </c>
      <c r="D15" s="17" t="s">
        <v>7</v>
      </c>
      <c r="G15" s="16"/>
    </row>
    <row r="16">
      <c r="A16" s="17">
        <v>15.0</v>
      </c>
      <c r="B16" s="17" t="s">
        <v>212</v>
      </c>
      <c r="C16" s="21">
        <v>0.0019560185185185184</v>
      </c>
      <c r="D16" s="17" t="s">
        <v>7</v>
      </c>
      <c r="G16" s="16"/>
    </row>
    <row r="17">
      <c r="A17" s="17">
        <v>16.0</v>
      </c>
      <c r="B17" s="17" t="s">
        <v>213</v>
      </c>
      <c r="C17" s="21">
        <v>0.004652777777777777</v>
      </c>
      <c r="D17" s="17" t="s">
        <v>7</v>
      </c>
      <c r="G17" s="16"/>
    </row>
    <row r="18">
      <c r="A18" s="17">
        <v>17.0</v>
      </c>
      <c r="B18" s="17" t="s">
        <v>214</v>
      </c>
      <c r="C18" s="21">
        <v>0.0022569444444444442</v>
      </c>
      <c r="D18" s="17" t="s">
        <v>7</v>
      </c>
      <c r="G18" s="16"/>
    </row>
    <row r="19">
      <c r="A19" s="17">
        <v>18.0</v>
      </c>
      <c r="B19" s="17" t="s">
        <v>215</v>
      </c>
      <c r="C19" s="21">
        <v>0.005011574074074074</v>
      </c>
      <c r="D19" s="17" t="s">
        <v>7</v>
      </c>
      <c r="G19" s="16"/>
    </row>
    <row r="20">
      <c r="A20" s="17">
        <v>19.0</v>
      </c>
      <c r="B20" s="17" t="s">
        <v>216</v>
      </c>
      <c r="C20" s="21">
        <v>0.0033796296296296296</v>
      </c>
      <c r="D20" s="17" t="s">
        <v>7</v>
      </c>
      <c r="G20" s="16"/>
    </row>
    <row r="21">
      <c r="A21" s="17">
        <v>20.0</v>
      </c>
      <c r="B21" s="17" t="s">
        <v>217</v>
      </c>
      <c r="C21" s="21">
        <v>0.004803240740740741</v>
      </c>
      <c r="D21" s="17" t="s">
        <v>7</v>
      </c>
      <c r="G21" s="16"/>
    </row>
    <row r="22">
      <c r="A22" s="17">
        <v>21.0</v>
      </c>
      <c r="B22" s="17" t="s">
        <v>218</v>
      </c>
      <c r="C22" s="21">
        <v>0.0018981481481481482</v>
      </c>
      <c r="D22" s="17" t="s">
        <v>7</v>
      </c>
      <c r="G22" s="16"/>
    </row>
    <row r="23">
      <c r="A23" s="17">
        <v>22.0</v>
      </c>
      <c r="B23" s="17" t="s">
        <v>219</v>
      </c>
      <c r="C23" s="21">
        <v>0.004710648148148148</v>
      </c>
      <c r="D23" s="17" t="s">
        <v>7</v>
      </c>
      <c r="G23" s="16"/>
    </row>
    <row r="24">
      <c r="A24" s="17">
        <v>23.0</v>
      </c>
      <c r="B24" s="17" t="s">
        <v>220</v>
      </c>
      <c r="C24" s="21">
        <v>0.0036226851851851854</v>
      </c>
      <c r="D24" s="17" t="s">
        <v>7</v>
      </c>
      <c r="G24" s="16"/>
    </row>
    <row r="25">
      <c r="A25" s="17">
        <v>24.0</v>
      </c>
      <c r="B25" s="17" t="s">
        <v>221</v>
      </c>
      <c r="C25" s="21">
        <v>0.0084375</v>
      </c>
      <c r="D25" s="17" t="s">
        <v>7</v>
      </c>
      <c r="G25" s="16"/>
    </row>
    <row r="26">
      <c r="A26" s="17">
        <v>25.0</v>
      </c>
      <c r="B26" s="17" t="s">
        <v>222</v>
      </c>
      <c r="C26" s="21">
        <v>0.003958333333333334</v>
      </c>
      <c r="D26" s="17" t="s">
        <v>7</v>
      </c>
      <c r="G26" s="16"/>
    </row>
    <row r="27">
      <c r="A27" s="17">
        <v>26.0</v>
      </c>
      <c r="B27" s="17" t="s">
        <v>223</v>
      </c>
      <c r="C27" s="21">
        <v>0.0030555555555555557</v>
      </c>
      <c r="D27" s="17" t="s">
        <v>7</v>
      </c>
      <c r="G27" s="16"/>
    </row>
    <row r="28">
      <c r="A28" s="17">
        <v>27.0</v>
      </c>
      <c r="B28" s="17" t="s">
        <v>224</v>
      </c>
      <c r="C28" s="21">
        <v>0.007569444444444445</v>
      </c>
      <c r="D28" s="17" t="s">
        <v>7</v>
      </c>
      <c r="G28" s="16"/>
    </row>
    <row r="29">
      <c r="A29" s="17">
        <v>28.0</v>
      </c>
      <c r="B29" s="17" t="s">
        <v>225</v>
      </c>
      <c r="C29" s="21">
        <v>0.0036574074074074074</v>
      </c>
      <c r="D29" s="17" t="s">
        <v>7</v>
      </c>
      <c r="G29" s="16"/>
    </row>
    <row r="30">
      <c r="A30" s="17">
        <v>29.0</v>
      </c>
      <c r="B30" s="17" t="s">
        <v>226</v>
      </c>
      <c r="C30" s="21">
        <v>0.007916666666666667</v>
      </c>
      <c r="D30" s="17" t="s">
        <v>7</v>
      </c>
      <c r="G30" s="16"/>
    </row>
    <row r="31">
      <c r="A31" s="17">
        <v>30.0</v>
      </c>
      <c r="B31" s="17" t="s">
        <v>227</v>
      </c>
      <c r="C31" s="21">
        <v>0.0062268518518518515</v>
      </c>
      <c r="D31" s="17" t="s">
        <v>7</v>
      </c>
      <c r="G31" s="16"/>
    </row>
    <row r="32">
      <c r="A32" s="17">
        <v>31.0</v>
      </c>
      <c r="B32" s="17" t="s">
        <v>228</v>
      </c>
      <c r="C32" s="21">
        <v>0.0077314814814814815</v>
      </c>
      <c r="D32" s="17" t="s">
        <v>7</v>
      </c>
      <c r="G32" s="16"/>
    </row>
    <row r="33">
      <c r="A33" s="17">
        <v>32.0</v>
      </c>
      <c r="B33" s="17" t="s">
        <v>229</v>
      </c>
      <c r="C33" s="21">
        <v>0.003159722222222222</v>
      </c>
      <c r="D33" s="17" t="s">
        <v>7</v>
      </c>
      <c r="G33" s="16"/>
    </row>
    <row r="34">
      <c r="A34" s="17">
        <v>33.0</v>
      </c>
      <c r="B34" s="17" t="s">
        <v>230</v>
      </c>
      <c r="C34" s="21">
        <v>0.0030208333333333333</v>
      </c>
      <c r="D34" s="17" t="s">
        <v>7</v>
      </c>
      <c r="G34" s="16"/>
    </row>
    <row r="35">
      <c r="A35" s="17">
        <v>34.0</v>
      </c>
      <c r="B35" s="17" t="s">
        <v>231</v>
      </c>
      <c r="C35" s="21">
        <v>0.005</v>
      </c>
      <c r="D35" s="17" t="s">
        <v>7</v>
      </c>
      <c r="G35" s="16"/>
    </row>
    <row r="36">
      <c r="A36" s="17">
        <v>35.0</v>
      </c>
      <c r="B36" s="17" t="s">
        <v>232</v>
      </c>
      <c r="C36" s="21">
        <v>0.0052430555555555555</v>
      </c>
      <c r="D36" s="17" t="s">
        <v>7</v>
      </c>
      <c r="G36" s="16"/>
    </row>
    <row r="37">
      <c r="A37" s="17">
        <v>36.0</v>
      </c>
      <c r="B37" s="17" t="s">
        <v>233</v>
      </c>
      <c r="C37" s="21">
        <v>0.00525462962962963</v>
      </c>
      <c r="D37" s="17" t="s">
        <v>7</v>
      </c>
      <c r="G37" s="16"/>
    </row>
    <row r="38">
      <c r="A38" s="17">
        <v>37.0</v>
      </c>
      <c r="B38" s="17" t="s">
        <v>234</v>
      </c>
      <c r="C38" s="21">
        <v>0.005914351851851852</v>
      </c>
      <c r="D38" s="17" t="s">
        <v>7</v>
      </c>
      <c r="G38" s="16"/>
    </row>
    <row r="39">
      <c r="A39" s="17">
        <v>38.0</v>
      </c>
      <c r="B39" s="17" t="s">
        <v>235</v>
      </c>
      <c r="C39" s="21">
        <v>0.0059953703703703705</v>
      </c>
      <c r="D39" s="17" t="s">
        <v>7</v>
      </c>
      <c r="G39" s="16"/>
    </row>
    <row r="40">
      <c r="A40" s="17">
        <v>39.0</v>
      </c>
      <c r="B40" s="17" t="s">
        <v>236</v>
      </c>
      <c r="C40" s="21">
        <v>0.008483796296296297</v>
      </c>
      <c r="D40" s="17" t="s">
        <v>7</v>
      </c>
      <c r="G40" s="16"/>
    </row>
    <row r="41">
      <c r="A41" s="17">
        <v>40.0</v>
      </c>
      <c r="B41" s="17" t="s">
        <v>237</v>
      </c>
      <c r="C41" s="21">
        <v>0.002928240740740741</v>
      </c>
      <c r="D41" s="17" t="s">
        <v>7</v>
      </c>
      <c r="G41" s="16"/>
    </row>
    <row r="42">
      <c r="A42" s="17">
        <v>41.0</v>
      </c>
      <c r="B42" s="17" t="s">
        <v>238</v>
      </c>
      <c r="C42" s="21">
        <v>0.003148148148148148</v>
      </c>
      <c r="D42" s="17" t="s">
        <v>7</v>
      </c>
      <c r="G42" s="16"/>
    </row>
    <row r="43">
      <c r="A43" s="17">
        <v>42.0</v>
      </c>
      <c r="B43" s="17" t="s">
        <v>239</v>
      </c>
      <c r="C43" s="21">
        <v>0.005567129629629629</v>
      </c>
      <c r="D43" s="17" t="s">
        <v>7</v>
      </c>
      <c r="G43" s="16"/>
    </row>
    <row r="44">
      <c r="A44" s="17">
        <v>43.0</v>
      </c>
      <c r="B44" s="17" t="s">
        <v>240</v>
      </c>
      <c r="C44" s="21">
        <v>0.002395833333333333</v>
      </c>
      <c r="D44" s="17" t="s">
        <v>7</v>
      </c>
      <c r="G44" s="16"/>
    </row>
    <row r="45">
      <c r="A45" s="17">
        <v>44.0</v>
      </c>
      <c r="B45" s="17" t="s">
        <v>241</v>
      </c>
      <c r="C45" s="21">
        <v>0.009328703703703704</v>
      </c>
      <c r="D45" s="17" t="s">
        <v>7</v>
      </c>
      <c r="G45" s="16"/>
    </row>
    <row r="46">
      <c r="A46" s="17">
        <v>45.0</v>
      </c>
      <c r="B46" s="17" t="s">
        <v>242</v>
      </c>
      <c r="C46" s="21">
        <v>0.002685185185185185</v>
      </c>
      <c r="D46" s="17" t="s">
        <v>7</v>
      </c>
      <c r="G46" s="16"/>
    </row>
    <row r="47">
      <c r="A47" s="17">
        <v>46.0</v>
      </c>
      <c r="B47" s="17" t="s">
        <v>243</v>
      </c>
      <c r="C47" s="21">
        <v>0.001388888888888889</v>
      </c>
      <c r="D47" s="17" t="s">
        <v>7</v>
      </c>
      <c r="G47" s="16"/>
    </row>
    <row r="48">
      <c r="A48" s="17">
        <v>47.0</v>
      </c>
      <c r="B48" s="17" t="s">
        <v>244</v>
      </c>
      <c r="C48" s="21">
        <v>0.005358796296296296</v>
      </c>
      <c r="D48" s="17" t="s">
        <v>7</v>
      </c>
      <c r="G48" s="16"/>
    </row>
    <row r="49">
      <c r="A49" s="17">
        <v>48.0</v>
      </c>
      <c r="B49" s="17" t="s">
        <v>245</v>
      </c>
      <c r="C49" s="21">
        <v>0.005983796296296296</v>
      </c>
      <c r="D49" s="17" t="s">
        <v>7</v>
      </c>
      <c r="G49" s="16"/>
    </row>
    <row r="50">
      <c r="A50" s="17">
        <v>49.0</v>
      </c>
      <c r="B50" s="17" t="s">
        <v>246</v>
      </c>
      <c r="C50" s="21">
        <v>0.0037731481481481483</v>
      </c>
      <c r="D50" s="17" t="s">
        <v>7</v>
      </c>
      <c r="G50" s="16"/>
    </row>
    <row r="51">
      <c r="A51" s="17">
        <v>50.0</v>
      </c>
      <c r="B51" s="17" t="s">
        <v>247</v>
      </c>
      <c r="C51" s="21">
        <v>0.004270833333333333</v>
      </c>
      <c r="D51" s="17" t="s">
        <v>7</v>
      </c>
      <c r="G51" s="16"/>
    </row>
    <row r="52">
      <c r="A52" s="17">
        <v>51.0</v>
      </c>
      <c r="B52" s="17" t="s">
        <v>248</v>
      </c>
      <c r="C52" s="21">
        <v>0.005636574074074074</v>
      </c>
      <c r="D52" s="17" t="s">
        <v>7</v>
      </c>
      <c r="G52" s="16"/>
    </row>
    <row r="53">
      <c r="A53" s="17">
        <v>52.0</v>
      </c>
      <c r="B53" s="17" t="s">
        <v>249</v>
      </c>
      <c r="C53" s="21">
        <v>0.005393518518518519</v>
      </c>
      <c r="D53" s="17" t="s">
        <v>7</v>
      </c>
      <c r="G53" s="16"/>
    </row>
    <row r="54">
      <c r="A54" s="17">
        <v>53.0</v>
      </c>
      <c r="B54" s="17" t="s">
        <v>250</v>
      </c>
      <c r="C54" s="21">
        <v>0.0042592592592592595</v>
      </c>
      <c r="D54" s="17" t="s">
        <v>7</v>
      </c>
      <c r="G54" s="16"/>
    </row>
    <row r="55">
      <c r="A55" s="17">
        <v>54.0</v>
      </c>
      <c r="B55" s="17" t="s">
        <v>251</v>
      </c>
      <c r="C55" s="21">
        <v>0.014826388888888889</v>
      </c>
      <c r="D55" s="17" t="s">
        <v>7</v>
      </c>
      <c r="G55" s="16"/>
    </row>
    <row r="56">
      <c r="A56" s="17">
        <v>55.0</v>
      </c>
      <c r="B56" s="17" t="s">
        <v>252</v>
      </c>
      <c r="C56" s="21">
        <v>0.007071759259259259</v>
      </c>
      <c r="D56" s="17" t="s">
        <v>7</v>
      </c>
      <c r="G56" s="16"/>
    </row>
    <row r="57">
      <c r="A57" s="17">
        <v>56.0</v>
      </c>
      <c r="B57" s="17" t="s">
        <v>253</v>
      </c>
      <c r="C57" s="21">
        <v>0.010914351851851852</v>
      </c>
      <c r="D57" s="17" t="s">
        <v>7</v>
      </c>
      <c r="G57" s="16"/>
    </row>
    <row r="58">
      <c r="A58" s="17">
        <v>57.0</v>
      </c>
      <c r="B58" s="17" t="s">
        <v>254</v>
      </c>
      <c r="C58" s="21">
        <v>0.005115740740740741</v>
      </c>
      <c r="D58" s="17" t="s">
        <v>7</v>
      </c>
      <c r="G58" s="16"/>
    </row>
    <row r="59">
      <c r="A59" s="17">
        <v>58.0</v>
      </c>
      <c r="B59" s="17" t="s">
        <v>255</v>
      </c>
      <c r="C59" s="21">
        <v>0.0017939814814814815</v>
      </c>
      <c r="D59" s="17" t="s">
        <v>7</v>
      </c>
      <c r="G59" s="16"/>
    </row>
    <row r="60">
      <c r="A60" s="17">
        <v>59.0</v>
      </c>
      <c r="B60" s="17" t="s">
        <v>256</v>
      </c>
      <c r="C60" s="21">
        <v>7.407407407407407E-4</v>
      </c>
      <c r="D60" s="17" t="s">
        <v>7</v>
      </c>
      <c r="G60" s="16"/>
    </row>
    <row r="61">
      <c r="A61" s="17">
        <v>60.0</v>
      </c>
      <c r="B61" s="17" t="s">
        <v>257</v>
      </c>
      <c r="C61" s="21">
        <v>0.007465277777777778</v>
      </c>
      <c r="D61" s="17" t="s">
        <v>7</v>
      </c>
      <c r="G61" s="16"/>
    </row>
    <row r="62">
      <c r="A62" s="17">
        <v>61.0</v>
      </c>
      <c r="B62" s="17" t="s">
        <v>258</v>
      </c>
      <c r="C62" s="21">
        <v>0.0043518518518518515</v>
      </c>
      <c r="D62" s="17" t="s">
        <v>7</v>
      </c>
      <c r="G62" s="16"/>
    </row>
    <row r="63">
      <c r="A63" s="17">
        <v>62.0</v>
      </c>
      <c r="B63" s="17" t="s">
        <v>259</v>
      </c>
      <c r="C63" s="21">
        <v>0.0017939814814814815</v>
      </c>
      <c r="D63" s="17" t="s">
        <v>7</v>
      </c>
      <c r="G63" s="16"/>
    </row>
    <row r="64">
      <c r="A64" s="17">
        <v>63.0</v>
      </c>
      <c r="B64" s="17" t="s">
        <v>260</v>
      </c>
      <c r="C64" s="21">
        <v>0.004988425925925926</v>
      </c>
      <c r="D64" s="17" t="s">
        <v>7</v>
      </c>
      <c r="G64" s="16"/>
    </row>
    <row r="65">
      <c r="A65" s="17">
        <v>64.0</v>
      </c>
      <c r="B65" s="17" t="s">
        <v>261</v>
      </c>
      <c r="C65" s="21">
        <v>0.0053125</v>
      </c>
      <c r="D65" s="17" t="s">
        <v>7</v>
      </c>
      <c r="G65" s="16"/>
    </row>
    <row r="66">
      <c r="A66" s="17">
        <v>65.0</v>
      </c>
      <c r="B66" s="17" t="s">
        <v>262</v>
      </c>
      <c r="C66" s="21">
        <v>0.003611111111111111</v>
      </c>
      <c r="D66" s="17" t="s">
        <v>7</v>
      </c>
      <c r="G66" s="16"/>
    </row>
    <row r="67">
      <c r="A67" s="17">
        <v>66.0</v>
      </c>
      <c r="B67" s="17" t="s">
        <v>263</v>
      </c>
      <c r="C67" s="21">
        <v>0.005902777777777778</v>
      </c>
      <c r="D67" s="17" t="s">
        <v>7</v>
      </c>
      <c r="G67" s="16"/>
    </row>
    <row r="68">
      <c r="A68" s="17">
        <v>67.0</v>
      </c>
      <c r="B68" s="17" t="s">
        <v>264</v>
      </c>
      <c r="C68" s="21">
        <v>0.004710648148148148</v>
      </c>
      <c r="D68" s="17" t="s">
        <v>7</v>
      </c>
      <c r="G68" s="16"/>
    </row>
    <row r="69">
      <c r="C69" s="21"/>
      <c r="G69" s="16"/>
    </row>
    <row r="70">
      <c r="C70" s="21"/>
      <c r="G70" s="16"/>
    </row>
    <row r="71">
      <c r="C71" s="21"/>
      <c r="G71" s="16"/>
    </row>
    <row r="72">
      <c r="C72" s="21"/>
      <c r="G72" s="16"/>
    </row>
    <row r="73">
      <c r="C73" s="21"/>
      <c r="G73" s="16"/>
    </row>
    <row r="74">
      <c r="C74" s="21"/>
      <c r="G74" s="16"/>
    </row>
    <row r="75">
      <c r="C75" s="21"/>
      <c r="G75" s="16"/>
    </row>
    <row r="76">
      <c r="C76" s="21"/>
      <c r="G76" s="16"/>
    </row>
    <row r="77">
      <c r="C77" s="21"/>
      <c r="G77" s="16"/>
    </row>
    <row r="78">
      <c r="C78" s="21"/>
      <c r="G78" s="16"/>
    </row>
    <row r="79">
      <c r="C79" s="21"/>
      <c r="G79" s="16"/>
    </row>
    <row r="80">
      <c r="C80" s="21"/>
      <c r="G80" s="16"/>
    </row>
    <row r="81">
      <c r="C81" s="21"/>
      <c r="G81" s="16"/>
    </row>
    <row r="82">
      <c r="C82" s="21"/>
      <c r="G82" s="16"/>
    </row>
    <row r="83">
      <c r="C83" s="21"/>
      <c r="G83" s="16"/>
    </row>
    <row r="84">
      <c r="C84" s="21"/>
      <c r="G84" s="16"/>
    </row>
    <row r="85">
      <c r="C85" s="21"/>
      <c r="G85" s="16"/>
    </row>
    <row r="86">
      <c r="C86" s="21"/>
      <c r="G86" s="16"/>
    </row>
    <row r="87">
      <c r="C87" s="21"/>
      <c r="G87" s="16"/>
    </row>
    <row r="88">
      <c r="C88" s="21"/>
      <c r="G88" s="16"/>
    </row>
    <row r="89">
      <c r="C89" s="21"/>
      <c r="G89" s="16"/>
    </row>
    <row r="90">
      <c r="C90" s="21"/>
      <c r="G90" s="16"/>
    </row>
    <row r="91">
      <c r="C91" s="21"/>
      <c r="G91" s="16"/>
    </row>
    <row r="92">
      <c r="C92" s="21"/>
      <c r="G92" s="16"/>
    </row>
    <row r="93">
      <c r="C93" s="21"/>
      <c r="G93" s="16"/>
    </row>
    <row r="94">
      <c r="C94" s="21"/>
      <c r="G94" s="16"/>
    </row>
    <row r="95">
      <c r="C95" s="21"/>
      <c r="G95" s="16"/>
    </row>
    <row r="96">
      <c r="C96" s="21"/>
      <c r="G96" s="16"/>
    </row>
    <row r="97">
      <c r="C97" s="21"/>
      <c r="G97" s="16"/>
    </row>
    <row r="98">
      <c r="C98" s="21"/>
      <c r="G98" s="16"/>
    </row>
    <row r="99">
      <c r="C99" s="21"/>
      <c r="G99" s="16"/>
    </row>
    <row r="100">
      <c r="C100" s="21"/>
      <c r="G100" s="16"/>
    </row>
    <row r="101">
      <c r="C101" s="21"/>
      <c r="G101" s="16"/>
    </row>
    <row r="102">
      <c r="C102" s="21"/>
      <c r="G102" s="16"/>
    </row>
    <row r="103">
      <c r="C103" s="21"/>
      <c r="G103" s="16"/>
    </row>
    <row r="104">
      <c r="C104" s="21"/>
      <c r="G104" s="16"/>
    </row>
    <row r="105">
      <c r="C105" s="21"/>
      <c r="G105" s="16"/>
    </row>
    <row r="106">
      <c r="C106" s="21"/>
      <c r="G106" s="16"/>
    </row>
    <row r="107">
      <c r="C107" s="21"/>
      <c r="G107" s="16"/>
    </row>
    <row r="108">
      <c r="C108" s="21"/>
      <c r="G108" s="16"/>
    </row>
    <row r="109">
      <c r="C109" s="21"/>
      <c r="G109" s="16"/>
    </row>
    <row r="110">
      <c r="C110" s="21"/>
      <c r="G110" s="16"/>
    </row>
    <row r="111">
      <c r="C111" s="21"/>
      <c r="G111" s="16"/>
    </row>
    <row r="112">
      <c r="C112" s="21"/>
      <c r="G112" s="16"/>
    </row>
    <row r="113">
      <c r="C113" s="21"/>
      <c r="G113" s="16"/>
    </row>
    <row r="114">
      <c r="C114" s="21"/>
      <c r="G114" s="16"/>
    </row>
    <row r="115">
      <c r="C115" s="21"/>
      <c r="G115" s="16"/>
    </row>
    <row r="116">
      <c r="C116" s="21"/>
      <c r="G116" s="16"/>
    </row>
    <row r="117">
      <c r="C117" s="21"/>
      <c r="G117" s="16"/>
    </row>
    <row r="118">
      <c r="C118" s="21"/>
      <c r="G118" s="16"/>
    </row>
    <row r="119">
      <c r="C119" s="21"/>
      <c r="G119" s="16"/>
    </row>
    <row r="120">
      <c r="C120" s="21"/>
      <c r="G120" s="16"/>
    </row>
    <row r="121">
      <c r="C121" s="21"/>
      <c r="G121" s="16"/>
    </row>
    <row r="122">
      <c r="C122" s="21"/>
      <c r="G122" s="16"/>
    </row>
    <row r="123">
      <c r="C123" s="21"/>
      <c r="G123" s="16"/>
    </row>
    <row r="124">
      <c r="C124" s="21"/>
      <c r="G124" s="16"/>
    </row>
    <row r="125">
      <c r="C125" s="21"/>
      <c r="G125" s="16"/>
    </row>
    <row r="126">
      <c r="C126" s="21"/>
      <c r="G126" s="16"/>
    </row>
    <row r="127">
      <c r="C127" s="21"/>
      <c r="G127" s="16"/>
    </row>
    <row r="128">
      <c r="C128" s="21"/>
      <c r="G128" s="16"/>
    </row>
    <row r="129">
      <c r="C129" s="21"/>
      <c r="G129" s="16"/>
    </row>
    <row r="130">
      <c r="C130" s="21"/>
      <c r="G130" s="16"/>
    </row>
    <row r="131">
      <c r="C131" s="21"/>
      <c r="G131" s="16"/>
    </row>
    <row r="132">
      <c r="C132" s="21"/>
      <c r="G132" s="16"/>
    </row>
    <row r="133">
      <c r="C133" s="21"/>
      <c r="G133" s="16"/>
    </row>
    <row r="134">
      <c r="C134" s="21"/>
      <c r="G134" s="16"/>
    </row>
    <row r="135">
      <c r="C135" s="21"/>
      <c r="G135" s="16"/>
    </row>
    <row r="136">
      <c r="C136" s="21"/>
      <c r="G136" s="16"/>
    </row>
    <row r="137">
      <c r="C137" s="21"/>
      <c r="G137" s="16"/>
    </row>
    <row r="138">
      <c r="C138" s="21"/>
      <c r="G138" s="16"/>
    </row>
    <row r="139">
      <c r="C139" s="21"/>
      <c r="G139" s="16"/>
    </row>
    <row r="140">
      <c r="C140" s="21"/>
      <c r="G140" s="16"/>
    </row>
    <row r="141">
      <c r="C141" s="21"/>
      <c r="G141" s="16"/>
    </row>
    <row r="142">
      <c r="C142" s="21"/>
      <c r="G142" s="16"/>
    </row>
    <row r="143">
      <c r="C143" s="21"/>
      <c r="G143" s="16"/>
    </row>
    <row r="144">
      <c r="C144" s="21"/>
      <c r="G144" s="16"/>
    </row>
    <row r="145">
      <c r="C145" s="21"/>
      <c r="G145" s="16"/>
    </row>
    <row r="146">
      <c r="C146" s="21"/>
      <c r="G146" s="16"/>
    </row>
    <row r="147">
      <c r="C147" s="21"/>
      <c r="G147" s="16"/>
    </row>
    <row r="148">
      <c r="C148" s="21"/>
      <c r="G148" s="16"/>
    </row>
    <row r="149">
      <c r="C149" s="21"/>
      <c r="G149" s="16"/>
    </row>
    <row r="150">
      <c r="C150" s="21"/>
      <c r="G150" s="16"/>
    </row>
    <row r="151">
      <c r="C151" s="21"/>
      <c r="G151" s="16"/>
    </row>
    <row r="152">
      <c r="C152" s="21"/>
      <c r="G152" s="16"/>
    </row>
    <row r="153">
      <c r="C153" s="21"/>
      <c r="G153" s="16"/>
    </row>
    <row r="154">
      <c r="C154" s="21"/>
      <c r="G154" s="16"/>
    </row>
    <row r="155">
      <c r="C155" s="21"/>
      <c r="G155" s="16"/>
    </row>
    <row r="156">
      <c r="C156" s="21"/>
      <c r="G156" s="16"/>
    </row>
    <row r="157">
      <c r="C157" s="21"/>
      <c r="G157" s="16"/>
    </row>
    <row r="158">
      <c r="C158" s="21"/>
      <c r="G158" s="16"/>
    </row>
    <row r="159">
      <c r="C159" s="21"/>
      <c r="G159" s="16"/>
    </row>
    <row r="160">
      <c r="C160" s="21"/>
      <c r="G160" s="16"/>
    </row>
    <row r="161">
      <c r="C161" s="21"/>
      <c r="G161" s="16"/>
    </row>
    <row r="162">
      <c r="C162" s="21"/>
      <c r="G162" s="16"/>
    </row>
    <row r="163">
      <c r="C163" s="21"/>
      <c r="G163" s="16"/>
    </row>
    <row r="164">
      <c r="C164" s="21"/>
      <c r="G164" s="16"/>
    </row>
    <row r="165">
      <c r="C165" s="21"/>
      <c r="G165" s="16"/>
    </row>
    <row r="166">
      <c r="C166" s="21"/>
      <c r="G166" s="16"/>
    </row>
    <row r="167">
      <c r="C167" s="21"/>
      <c r="G167" s="16"/>
    </row>
    <row r="168">
      <c r="C168" s="21"/>
      <c r="G168" s="16"/>
    </row>
    <row r="169">
      <c r="C169" s="21"/>
      <c r="G169" s="16"/>
    </row>
    <row r="170">
      <c r="C170" s="21"/>
      <c r="G170" s="16"/>
    </row>
    <row r="171">
      <c r="C171" s="21"/>
      <c r="G171" s="16"/>
    </row>
    <row r="172">
      <c r="C172" s="21"/>
      <c r="G172" s="16"/>
    </row>
    <row r="173">
      <c r="C173" s="21"/>
      <c r="G173" s="16"/>
    </row>
    <row r="174">
      <c r="C174" s="21"/>
      <c r="G174" s="16"/>
    </row>
    <row r="175">
      <c r="C175" s="21"/>
      <c r="G175" s="16"/>
    </row>
    <row r="176">
      <c r="C176" s="21"/>
      <c r="G176" s="16"/>
    </row>
    <row r="177">
      <c r="C177" s="21"/>
      <c r="G177" s="16"/>
    </row>
    <row r="178">
      <c r="C178" s="21"/>
      <c r="G178" s="16"/>
    </row>
    <row r="179">
      <c r="C179" s="21"/>
      <c r="G179" s="16"/>
    </row>
    <row r="180">
      <c r="C180" s="21"/>
      <c r="G180" s="16"/>
    </row>
    <row r="181">
      <c r="C181" s="21"/>
      <c r="G181" s="16"/>
    </row>
    <row r="182">
      <c r="C182" s="21"/>
      <c r="G182" s="16"/>
    </row>
    <row r="183">
      <c r="C183" s="21"/>
      <c r="G183" s="16"/>
    </row>
    <row r="184">
      <c r="C184" s="21"/>
      <c r="G184" s="16"/>
    </row>
    <row r="185">
      <c r="C185" s="21"/>
      <c r="G185" s="16"/>
    </row>
    <row r="186">
      <c r="C186" s="21"/>
      <c r="G186" s="16"/>
    </row>
    <row r="187">
      <c r="C187" s="21"/>
      <c r="G187" s="16"/>
    </row>
    <row r="188">
      <c r="C188" s="21"/>
      <c r="G188" s="16"/>
    </row>
    <row r="189">
      <c r="C189" s="21"/>
      <c r="G189" s="16"/>
    </row>
    <row r="190">
      <c r="C190" s="21"/>
      <c r="G190" s="16"/>
    </row>
    <row r="191">
      <c r="C191" s="21"/>
      <c r="G191" s="16"/>
    </row>
    <row r="192">
      <c r="C192" s="21"/>
      <c r="G192" s="16"/>
    </row>
    <row r="193">
      <c r="C193" s="21"/>
      <c r="G193" s="16"/>
    </row>
    <row r="194">
      <c r="C194" s="21"/>
      <c r="G194" s="16"/>
    </row>
    <row r="195">
      <c r="C195" s="21"/>
      <c r="G195" s="16"/>
    </row>
    <row r="196">
      <c r="C196" s="21"/>
      <c r="G196" s="16"/>
    </row>
    <row r="197">
      <c r="C197" s="21"/>
      <c r="G197" s="16"/>
    </row>
    <row r="198">
      <c r="C198" s="21"/>
      <c r="G198" s="16"/>
    </row>
    <row r="199">
      <c r="C199" s="21"/>
      <c r="G199" s="16"/>
    </row>
    <row r="200">
      <c r="C200" s="21"/>
      <c r="G200" s="16"/>
    </row>
    <row r="201">
      <c r="C201" s="21"/>
      <c r="G201" s="16"/>
    </row>
    <row r="202">
      <c r="C202" s="21"/>
      <c r="G202" s="16"/>
    </row>
    <row r="203">
      <c r="C203" s="21"/>
      <c r="G203" s="16"/>
    </row>
    <row r="204">
      <c r="C204" s="21"/>
      <c r="G204" s="16"/>
    </row>
    <row r="205">
      <c r="C205" s="21"/>
      <c r="G205" s="16"/>
    </row>
    <row r="206">
      <c r="C206" s="21"/>
      <c r="G206" s="16"/>
    </row>
    <row r="207">
      <c r="C207" s="21"/>
      <c r="G207" s="16"/>
    </row>
    <row r="208">
      <c r="C208" s="21"/>
      <c r="G208" s="16"/>
    </row>
    <row r="209">
      <c r="C209" s="21"/>
      <c r="G209" s="16"/>
    </row>
    <row r="210">
      <c r="C210" s="21"/>
      <c r="G210" s="16"/>
    </row>
    <row r="211">
      <c r="C211" s="21"/>
      <c r="G211" s="16"/>
    </row>
    <row r="212">
      <c r="C212" s="21"/>
      <c r="G212" s="16"/>
    </row>
    <row r="213">
      <c r="C213" s="21"/>
      <c r="G213" s="16"/>
    </row>
    <row r="214">
      <c r="C214" s="21"/>
      <c r="G214" s="16"/>
    </row>
    <row r="215">
      <c r="C215" s="21"/>
      <c r="G215" s="16"/>
    </row>
    <row r="216">
      <c r="C216" s="21"/>
      <c r="G216" s="16"/>
    </row>
    <row r="217">
      <c r="C217" s="21"/>
      <c r="G217" s="16"/>
    </row>
    <row r="218">
      <c r="C218" s="21"/>
      <c r="G218" s="16"/>
    </row>
    <row r="219">
      <c r="C219" s="21"/>
      <c r="G219" s="16"/>
    </row>
    <row r="220">
      <c r="C220" s="21"/>
      <c r="G220" s="16"/>
    </row>
    <row r="221">
      <c r="C221" s="21"/>
      <c r="G221" s="16"/>
    </row>
    <row r="222">
      <c r="C222" s="21"/>
      <c r="G222" s="16"/>
    </row>
    <row r="223">
      <c r="C223" s="21"/>
      <c r="G223" s="16"/>
    </row>
    <row r="224">
      <c r="C224" s="21"/>
      <c r="G224" s="16"/>
    </row>
    <row r="225">
      <c r="C225" s="21"/>
      <c r="G225" s="16"/>
    </row>
    <row r="226">
      <c r="C226" s="21"/>
      <c r="G226" s="16"/>
    </row>
    <row r="227">
      <c r="C227" s="21"/>
      <c r="G227" s="16"/>
    </row>
    <row r="228">
      <c r="C228" s="21"/>
      <c r="G228" s="16"/>
    </row>
    <row r="229">
      <c r="C229" s="21"/>
      <c r="G229" s="16"/>
    </row>
    <row r="230">
      <c r="C230" s="21"/>
      <c r="G230" s="16"/>
    </row>
    <row r="231">
      <c r="C231" s="21"/>
      <c r="G231" s="16"/>
    </row>
    <row r="232">
      <c r="C232" s="21"/>
      <c r="G232" s="16"/>
    </row>
    <row r="233">
      <c r="C233" s="21"/>
      <c r="G233" s="16"/>
    </row>
    <row r="234">
      <c r="C234" s="21"/>
      <c r="G234" s="16"/>
    </row>
    <row r="235">
      <c r="C235" s="21"/>
      <c r="G235" s="16"/>
    </row>
    <row r="236">
      <c r="C236" s="21"/>
      <c r="G236" s="16"/>
    </row>
    <row r="237">
      <c r="C237" s="21"/>
      <c r="G237" s="16"/>
    </row>
    <row r="238">
      <c r="C238" s="21"/>
      <c r="G238" s="16"/>
    </row>
    <row r="239">
      <c r="C239" s="21"/>
      <c r="G239" s="16"/>
    </row>
    <row r="240">
      <c r="C240" s="21"/>
      <c r="G240" s="16"/>
    </row>
    <row r="241">
      <c r="C241" s="21"/>
      <c r="G241" s="16"/>
    </row>
    <row r="242">
      <c r="C242" s="21"/>
      <c r="G242" s="16"/>
    </row>
    <row r="243">
      <c r="C243" s="21"/>
      <c r="G243" s="16"/>
    </row>
    <row r="244">
      <c r="C244" s="21"/>
      <c r="G244" s="16"/>
    </row>
    <row r="245">
      <c r="C245" s="21"/>
      <c r="G245" s="16"/>
    </row>
    <row r="246">
      <c r="C246" s="21"/>
      <c r="G246" s="16"/>
    </row>
    <row r="247">
      <c r="C247" s="21"/>
      <c r="G247" s="16"/>
    </row>
    <row r="248">
      <c r="C248" s="21"/>
      <c r="G248" s="16"/>
    </row>
    <row r="249">
      <c r="C249" s="21"/>
      <c r="G249" s="16"/>
    </row>
    <row r="250">
      <c r="C250" s="21"/>
      <c r="G250" s="16"/>
    </row>
    <row r="251">
      <c r="C251" s="21"/>
      <c r="G251" s="16"/>
    </row>
    <row r="252">
      <c r="C252" s="21"/>
      <c r="G252" s="16"/>
    </row>
    <row r="253">
      <c r="C253" s="21"/>
      <c r="G253" s="16"/>
    </row>
    <row r="254">
      <c r="C254" s="21"/>
      <c r="G254" s="16"/>
    </row>
    <row r="255">
      <c r="C255" s="21"/>
      <c r="G255" s="16"/>
    </row>
    <row r="256">
      <c r="C256" s="21"/>
      <c r="G256" s="16"/>
    </row>
    <row r="257">
      <c r="C257" s="21"/>
      <c r="G257" s="16"/>
    </row>
    <row r="258">
      <c r="C258" s="21"/>
      <c r="G258" s="16"/>
    </row>
    <row r="259">
      <c r="C259" s="21"/>
      <c r="G259" s="16"/>
    </row>
    <row r="260">
      <c r="C260" s="21"/>
      <c r="G260" s="16"/>
    </row>
    <row r="261">
      <c r="C261" s="21"/>
      <c r="G261" s="16"/>
    </row>
    <row r="262">
      <c r="C262" s="21"/>
      <c r="G262" s="16"/>
    </row>
    <row r="263">
      <c r="C263" s="21"/>
      <c r="G263" s="16"/>
    </row>
    <row r="264">
      <c r="C264" s="21"/>
      <c r="G264" s="16"/>
    </row>
    <row r="265">
      <c r="C265" s="21"/>
      <c r="G265" s="16"/>
    </row>
    <row r="266">
      <c r="C266" s="21"/>
      <c r="G266" s="16"/>
    </row>
    <row r="267">
      <c r="C267" s="21"/>
      <c r="G267" s="16"/>
    </row>
    <row r="268">
      <c r="C268" s="21"/>
      <c r="G268" s="16"/>
    </row>
    <row r="269">
      <c r="C269" s="21"/>
      <c r="G269" s="16"/>
    </row>
    <row r="270">
      <c r="C270" s="21"/>
      <c r="G270" s="16"/>
    </row>
    <row r="271">
      <c r="C271" s="21"/>
      <c r="G271" s="16"/>
    </row>
    <row r="272">
      <c r="C272" s="21"/>
      <c r="G272" s="16"/>
    </row>
    <row r="273">
      <c r="C273" s="21"/>
      <c r="G273" s="16"/>
    </row>
    <row r="274">
      <c r="C274" s="21"/>
      <c r="G274" s="16"/>
    </row>
    <row r="275">
      <c r="C275" s="21"/>
      <c r="G275" s="16"/>
    </row>
    <row r="276">
      <c r="C276" s="21"/>
      <c r="G276" s="16"/>
    </row>
    <row r="277">
      <c r="C277" s="21"/>
      <c r="G277" s="16"/>
    </row>
    <row r="278">
      <c r="C278" s="21"/>
      <c r="G278" s="16"/>
    </row>
    <row r="279">
      <c r="C279" s="21"/>
      <c r="G279" s="16"/>
    </row>
    <row r="280">
      <c r="C280" s="21"/>
      <c r="G280" s="16"/>
    </row>
    <row r="281">
      <c r="C281" s="21"/>
      <c r="G281" s="16"/>
    </row>
    <row r="282">
      <c r="C282" s="21"/>
      <c r="G282" s="16"/>
    </row>
    <row r="283">
      <c r="C283" s="21"/>
      <c r="G283" s="16"/>
    </row>
    <row r="284">
      <c r="C284" s="21"/>
      <c r="G284" s="16"/>
    </row>
    <row r="285">
      <c r="C285" s="21"/>
      <c r="G285" s="16"/>
    </row>
    <row r="286">
      <c r="C286" s="21"/>
      <c r="G286" s="16"/>
    </row>
    <row r="287">
      <c r="C287" s="21"/>
      <c r="G287" s="16"/>
    </row>
    <row r="288">
      <c r="C288" s="21"/>
      <c r="G288" s="16"/>
    </row>
    <row r="289">
      <c r="C289" s="21"/>
      <c r="G289" s="16"/>
    </row>
    <row r="290">
      <c r="C290" s="21"/>
      <c r="G290" s="16"/>
    </row>
    <row r="291">
      <c r="C291" s="21"/>
      <c r="G291" s="16"/>
    </row>
    <row r="292">
      <c r="C292" s="21"/>
      <c r="G292" s="16"/>
    </row>
    <row r="293">
      <c r="C293" s="21"/>
      <c r="G293" s="16"/>
    </row>
    <row r="294">
      <c r="C294" s="21"/>
      <c r="G294" s="16"/>
    </row>
    <row r="295">
      <c r="C295" s="21"/>
      <c r="G295" s="16"/>
    </row>
    <row r="296">
      <c r="C296" s="21"/>
      <c r="G296" s="16"/>
    </row>
    <row r="297">
      <c r="C297" s="21"/>
      <c r="G297" s="16"/>
    </row>
    <row r="298">
      <c r="C298" s="21"/>
      <c r="G298" s="16"/>
    </row>
    <row r="299">
      <c r="C299" s="21"/>
      <c r="G299" s="16"/>
    </row>
    <row r="300">
      <c r="C300" s="21"/>
      <c r="G300" s="16"/>
    </row>
    <row r="301">
      <c r="C301" s="21"/>
      <c r="G301" s="16"/>
    </row>
    <row r="302">
      <c r="C302" s="21"/>
      <c r="G302" s="16"/>
    </row>
    <row r="303">
      <c r="C303" s="21"/>
      <c r="G303" s="16"/>
    </row>
    <row r="304">
      <c r="C304" s="21"/>
      <c r="G304" s="16"/>
    </row>
    <row r="305">
      <c r="C305" s="21"/>
      <c r="G305" s="16"/>
    </row>
    <row r="306">
      <c r="C306" s="21"/>
      <c r="G306" s="16"/>
    </row>
    <row r="307">
      <c r="C307" s="21"/>
      <c r="G307" s="16"/>
    </row>
    <row r="308">
      <c r="C308" s="21"/>
      <c r="G308" s="16"/>
    </row>
    <row r="309">
      <c r="C309" s="21"/>
      <c r="G309" s="16"/>
    </row>
    <row r="310">
      <c r="C310" s="21"/>
      <c r="G310" s="16"/>
    </row>
    <row r="311">
      <c r="C311" s="21"/>
      <c r="G311" s="16"/>
    </row>
    <row r="312">
      <c r="C312" s="21"/>
      <c r="G312" s="16"/>
    </row>
    <row r="313">
      <c r="C313" s="21"/>
      <c r="G313" s="16"/>
    </row>
    <row r="314">
      <c r="C314" s="21"/>
      <c r="G314" s="16"/>
    </row>
    <row r="315">
      <c r="C315" s="21"/>
      <c r="G315" s="16"/>
    </row>
    <row r="316">
      <c r="C316" s="21"/>
      <c r="G316" s="16"/>
    </row>
    <row r="317">
      <c r="C317" s="21"/>
      <c r="G317" s="16"/>
    </row>
    <row r="318">
      <c r="C318" s="21"/>
      <c r="G318" s="16"/>
    </row>
    <row r="319">
      <c r="C319" s="21"/>
      <c r="G319" s="16"/>
    </row>
    <row r="320">
      <c r="C320" s="21"/>
      <c r="G320" s="16"/>
    </row>
    <row r="321">
      <c r="C321" s="21"/>
      <c r="G321" s="16"/>
    </row>
    <row r="322">
      <c r="C322" s="21"/>
      <c r="G322" s="16"/>
    </row>
    <row r="323">
      <c r="C323" s="21"/>
      <c r="G323" s="16"/>
    </row>
    <row r="324">
      <c r="C324" s="21"/>
      <c r="G324" s="16"/>
    </row>
    <row r="325">
      <c r="C325" s="21"/>
      <c r="G325" s="16"/>
    </row>
    <row r="326">
      <c r="C326" s="21"/>
      <c r="G326" s="16"/>
    </row>
    <row r="327">
      <c r="C327" s="21"/>
      <c r="G327" s="16"/>
    </row>
    <row r="328">
      <c r="C328" s="21"/>
      <c r="G328" s="16"/>
    </row>
    <row r="329">
      <c r="C329" s="21"/>
      <c r="G329" s="16"/>
    </row>
    <row r="330">
      <c r="C330" s="21"/>
      <c r="G330" s="16"/>
    </row>
    <row r="331">
      <c r="C331" s="21"/>
      <c r="G331" s="16"/>
    </row>
    <row r="332">
      <c r="C332" s="21"/>
      <c r="G332" s="16"/>
    </row>
    <row r="333">
      <c r="C333" s="21"/>
      <c r="G333" s="16"/>
    </row>
    <row r="334">
      <c r="C334" s="21"/>
      <c r="G334" s="16"/>
    </row>
    <row r="335">
      <c r="C335" s="21"/>
      <c r="G335" s="16"/>
    </row>
    <row r="336">
      <c r="C336" s="21"/>
      <c r="G336" s="16"/>
    </row>
    <row r="337">
      <c r="C337" s="21"/>
      <c r="G337" s="16"/>
    </row>
    <row r="338">
      <c r="C338" s="21"/>
      <c r="G338" s="16"/>
    </row>
    <row r="339">
      <c r="C339" s="21"/>
      <c r="G339" s="16"/>
    </row>
    <row r="340">
      <c r="C340" s="21"/>
      <c r="G340" s="16"/>
    </row>
    <row r="341">
      <c r="C341" s="21"/>
      <c r="G341" s="16"/>
    </row>
    <row r="342">
      <c r="C342" s="21"/>
      <c r="G342" s="16"/>
    </row>
    <row r="343">
      <c r="C343" s="21"/>
      <c r="G343" s="16"/>
    </row>
    <row r="344">
      <c r="C344" s="21"/>
      <c r="G344" s="16"/>
    </row>
    <row r="345">
      <c r="C345" s="21"/>
      <c r="G345" s="16"/>
    </row>
    <row r="346">
      <c r="C346" s="21"/>
      <c r="G346" s="16"/>
    </row>
    <row r="347">
      <c r="C347" s="21"/>
      <c r="G347" s="16"/>
    </row>
    <row r="348">
      <c r="C348" s="21"/>
      <c r="G348" s="16"/>
    </row>
    <row r="349">
      <c r="C349" s="21"/>
      <c r="G349" s="16"/>
    </row>
    <row r="350">
      <c r="C350" s="21"/>
      <c r="G350" s="16"/>
    </row>
    <row r="351">
      <c r="C351" s="21"/>
      <c r="G351" s="16"/>
    </row>
    <row r="352">
      <c r="C352" s="21"/>
      <c r="G352" s="16"/>
    </row>
    <row r="353">
      <c r="C353" s="21"/>
      <c r="G353" s="16"/>
    </row>
    <row r="354">
      <c r="C354" s="21"/>
      <c r="G354" s="16"/>
    </row>
    <row r="355">
      <c r="C355" s="21"/>
      <c r="G355" s="16"/>
    </row>
    <row r="356">
      <c r="C356" s="21"/>
      <c r="G356" s="16"/>
    </row>
    <row r="357">
      <c r="C357" s="21"/>
      <c r="G357" s="16"/>
    </row>
    <row r="358">
      <c r="C358" s="21"/>
      <c r="G358" s="16"/>
    </row>
    <row r="359">
      <c r="C359" s="21"/>
      <c r="G359" s="16"/>
    </row>
    <row r="360">
      <c r="C360" s="21"/>
      <c r="G360" s="16"/>
    </row>
    <row r="361">
      <c r="C361" s="21"/>
      <c r="G361" s="16"/>
    </row>
    <row r="362">
      <c r="C362" s="21"/>
      <c r="G362" s="16"/>
    </row>
    <row r="363">
      <c r="C363" s="21"/>
      <c r="G363" s="16"/>
    </row>
    <row r="364">
      <c r="C364" s="21"/>
      <c r="G364" s="16"/>
    </row>
    <row r="365">
      <c r="C365" s="21"/>
      <c r="G365" s="16"/>
    </row>
    <row r="366">
      <c r="C366" s="21"/>
      <c r="G366" s="16"/>
    </row>
    <row r="367">
      <c r="C367" s="21"/>
      <c r="G367" s="16"/>
    </row>
    <row r="368">
      <c r="C368" s="21"/>
      <c r="G368" s="16"/>
    </row>
    <row r="369">
      <c r="C369" s="21"/>
      <c r="G369" s="16"/>
    </row>
    <row r="370">
      <c r="C370" s="21"/>
      <c r="G370" s="16"/>
    </row>
    <row r="371">
      <c r="C371" s="21"/>
      <c r="G371" s="16"/>
    </row>
    <row r="372">
      <c r="C372" s="21"/>
      <c r="G372" s="16"/>
    </row>
    <row r="373">
      <c r="C373" s="21"/>
      <c r="G373" s="16"/>
    </row>
    <row r="374">
      <c r="C374" s="21"/>
      <c r="G374" s="16"/>
    </row>
    <row r="375">
      <c r="C375" s="21"/>
      <c r="G375" s="16"/>
    </row>
    <row r="376">
      <c r="C376" s="21"/>
      <c r="G376" s="16"/>
    </row>
    <row r="377">
      <c r="C377" s="21"/>
      <c r="G377" s="16"/>
    </row>
    <row r="378">
      <c r="C378" s="21"/>
      <c r="G378" s="16"/>
    </row>
    <row r="379">
      <c r="C379" s="21"/>
      <c r="G379" s="16"/>
    </row>
    <row r="380">
      <c r="C380" s="21"/>
      <c r="G380" s="16"/>
    </row>
    <row r="381">
      <c r="C381" s="21"/>
      <c r="G381" s="16"/>
    </row>
    <row r="382">
      <c r="C382" s="21"/>
      <c r="G382" s="16"/>
    </row>
    <row r="383">
      <c r="C383" s="21"/>
      <c r="G383" s="16"/>
    </row>
    <row r="384">
      <c r="C384" s="21"/>
      <c r="G384" s="16"/>
    </row>
    <row r="385">
      <c r="C385" s="21"/>
      <c r="G385" s="16"/>
    </row>
    <row r="386">
      <c r="C386" s="21"/>
      <c r="G386" s="16"/>
    </row>
    <row r="387">
      <c r="C387" s="21"/>
      <c r="G387" s="16"/>
    </row>
    <row r="388">
      <c r="C388" s="21"/>
      <c r="G388" s="16"/>
    </row>
    <row r="389">
      <c r="C389" s="21"/>
      <c r="G389" s="16"/>
    </row>
    <row r="390">
      <c r="C390" s="21"/>
      <c r="G390" s="16"/>
    </row>
    <row r="391">
      <c r="C391" s="21"/>
      <c r="G391" s="16"/>
    </row>
    <row r="392">
      <c r="C392" s="21"/>
      <c r="G392" s="16"/>
    </row>
    <row r="393">
      <c r="C393" s="21"/>
      <c r="G393" s="16"/>
    </row>
    <row r="394">
      <c r="C394" s="21"/>
      <c r="G394" s="16"/>
    </row>
    <row r="395">
      <c r="C395" s="21"/>
      <c r="G395" s="16"/>
    </row>
    <row r="396">
      <c r="C396" s="21"/>
      <c r="G396" s="16"/>
    </row>
    <row r="397">
      <c r="C397" s="21"/>
      <c r="G397" s="16"/>
    </row>
    <row r="398">
      <c r="C398" s="21"/>
      <c r="G398" s="16"/>
    </row>
    <row r="399">
      <c r="C399" s="21"/>
      <c r="G399" s="16"/>
    </row>
    <row r="400">
      <c r="C400" s="21"/>
      <c r="G400" s="16"/>
    </row>
    <row r="401">
      <c r="C401" s="21"/>
      <c r="G401" s="16"/>
    </row>
    <row r="402">
      <c r="C402" s="21"/>
      <c r="G402" s="16"/>
    </row>
    <row r="403">
      <c r="C403" s="21"/>
      <c r="G403" s="16"/>
    </row>
    <row r="404">
      <c r="C404" s="21"/>
      <c r="G404" s="16"/>
    </row>
    <row r="405">
      <c r="C405" s="21"/>
      <c r="G405" s="16"/>
    </row>
    <row r="406">
      <c r="C406" s="21"/>
      <c r="G406" s="16"/>
    </row>
    <row r="407">
      <c r="C407" s="21"/>
      <c r="G407" s="16"/>
    </row>
    <row r="408">
      <c r="C408" s="21"/>
      <c r="G408" s="16"/>
    </row>
    <row r="409">
      <c r="C409" s="21"/>
      <c r="G409" s="16"/>
    </row>
    <row r="410">
      <c r="C410" s="21"/>
      <c r="G410" s="16"/>
    </row>
    <row r="411">
      <c r="C411" s="21"/>
      <c r="G411" s="16"/>
    </row>
    <row r="412">
      <c r="C412" s="21"/>
      <c r="G412" s="16"/>
    </row>
    <row r="413">
      <c r="C413" s="21"/>
      <c r="G413" s="16"/>
    </row>
    <row r="414">
      <c r="C414" s="21"/>
      <c r="G414" s="16"/>
    </row>
    <row r="415">
      <c r="C415" s="21"/>
      <c r="G415" s="16"/>
    </row>
    <row r="416">
      <c r="C416" s="21"/>
      <c r="G416" s="16"/>
    </row>
    <row r="417">
      <c r="C417" s="21"/>
      <c r="G417" s="16"/>
    </row>
    <row r="418">
      <c r="C418" s="21"/>
      <c r="G418" s="16"/>
    </row>
    <row r="419">
      <c r="C419" s="21"/>
      <c r="G419" s="16"/>
    </row>
    <row r="420">
      <c r="C420" s="21"/>
      <c r="G420" s="16"/>
    </row>
    <row r="421">
      <c r="C421" s="21"/>
      <c r="G421" s="16"/>
    </row>
    <row r="422">
      <c r="C422" s="21"/>
      <c r="G422" s="16"/>
    </row>
    <row r="423">
      <c r="C423" s="21"/>
      <c r="G423" s="16"/>
    </row>
    <row r="424">
      <c r="C424" s="21"/>
      <c r="G424" s="16"/>
    </row>
    <row r="425">
      <c r="C425" s="21"/>
      <c r="G425" s="16"/>
    </row>
    <row r="426">
      <c r="C426" s="21"/>
      <c r="G426" s="16"/>
    </row>
    <row r="427">
      <c r="C427" s="21"/>
      <c r="G427" s="16"/>
    </row>
    <row r="428">
      <c r="C428" s="21"/>
      <c r="G428" s="16"/>
    </row>
    <row r="429">
      <c r="C429" s="21"/>
      <c r="G429" s="16"/>
    </row>
    <row r="430">
      <c r="C430" s="21"/>
      <c r="G430" s="16"/>
    </row>
    <row r="431">
      <c r="C431" s="21"/>
      <c r="G431" s="16"/>
    </row>
    <row r="432">
      <c r="C432" s="21"/>
      <c r="G432" s="16"/>
    </row>
    <row r="433">
      <c r="C433" s="21"/>
      <c r="G433" s="16"/>
    </row>
    <row r="434">
      <c r="C434" s="21"/>
      <c r="G434" s="16"/>
    </row>
    <row r="435">
      <c r="C435" s="21"/>
      <c r="G435" s="16"/>
    </row>
    <row r="436">
      <c r="C436" s="21"/>
      <c r="G436" s="16"/>
    </row>
    <row r="437">
      <c r="C437" s="21"/>
      <c r="G437" s="16"/>
    </row>
    <row r="438">
      <c r="C438" s="21"/>
      <c r="G438" s="16"/>
    </row>
    <row r="439">
      <c r="C439" s="21"/>
      <c r="G439" s="16"/>
    </row>
    <row r="440">
      <c r="C440" s="21"/>
      <c r="G440" s="16"/>
    </row>
    <row r="441">
      <c r="C441" s="21"/>
      <c r="G441" s="16"/>
    </row>
    <row r="442">
      <c r="C442" s="21"/>
      <c r="G442" s="16"/>
    </row>
    <row r="443">
      <c r="C443" s="21"/>
      <c r="G443" s="16"/>
    </row>
    <row r="444">
      <c r="C444" s="21"/>
      <c r="G444" s="16"/>
    </row>
    <row r="445">
      <c r="C445" s="21"/>
      <c r="G445" s="16"/>
    </row>
    <row r="446">
      <c r="C446" s="21"/>
      <c r="G446" s="16"/>
    </row>
    <row r="447">
      <c r="C447" s="21"/>
      <c r="G447" s="16"/>
    </row>
    <row r="448">
      <c r="C448" s="21"/>
      <c r="G448" s="16"/>
    </row>
    <row r="449">
      <c r="C449" s="21"/>
      <c r="G449" s="16"/>
    </row>
    <row r="450">
      <c r="C450" s="21"/>
      <c r="G450" s="16"/>
    </row>
    <row r="451">
      <c r="C451" s="21"/>
      <c r="G451" s="16"/>
    </row>
    <row r="452">
      <c r="C452" s="21"/>
      <c r="G452" s="16"/>
    </row>
    <row r="453">
      <c r="C453" s="21"/>
      <c r="G453" s="16"/>
    </row>
    <row r="454">
      <c r="C454" s="21"/>
      <c r="G454" s="16"/>
    </row>
    <row r="455">
      <c r="C455" s="21"/>
      <c r="G455" s="16"/>
    </row>
    <row r="456">
      <c r="C456" s="21"/>
      <c r="G456" s="16"/>
    </row>
    <row r="457">
      <c r="C457" s="21"/>
      <c r="G457" s="16"/>
    </row>
    <row r="458">
      <c r="C458" s="21"/>
      <c r="G458" s="16"/>
    </row>
    <row r="459">
      <c r="C459" s="21"/>
      <c r="G459" s="16"/>
    </row>
    <row r="460">
      <c r="C460" s="21"/>
      <c r="G460" s="16"/>
    </row>
    <row r="461">
      <c r="C461" s="21"/>
      <c r="G461" s="16"/>
    </row>
    <row r="462">
      <c r="C462" s="21"/>
      <c r="G462" s="16"/>
    </row>
    <row r="463">
      <c r="C463" s="21"/>
      <c r="G463" s="16"/>
    </row>
    <row r="464">
      <c r="C464" s="21"/>
      <c r="G464" s="16"/>
    </row>
    <row r="465">
      <c r="C465" s="21"/>
      <c r="G465" s="16"/>
    </row>
    <row r="466">
      <c r="C466" s="21"/>
      <c r="G466" s="16"/>
    </row>
    <row r="467">
      <c r="C467" s="21"/>
      <c r="G467" s="16"/>
    </row>
    <row r="468">
      <c r="C468" s="21"/>
      <c r="G468" s="16"/>
    </row>
    <row r="469">
      <c r="C469" s="21"/>
      <c r="G469" s="16"/>
    </row>
    <row r="470">
      <c r="C470" s="21"/>
      <c r="G470" s="16"/>
    </row>
    <row r="471">
      <c r="C471" s="21"/>
      <c r="G471" s="16"/>
    </row>
    <row r="472">
      <c r="C472" s="21"/>
      <c r="G472" s="16"/>
    </row>
    <row r="473">
      <c r="C473" s="21"/>
      <c r="G473" s="16"/>
    </row>
    <row r="474">
      <c r="C474" s="21"/>
      <c r="G474" s="16"/>
    </row>
    <row r="475">
      <c r="C475" s="21"/>
      <c r="G475" s="16"/>
    </row>
    <row r="476">
      <c r="C476" s="21"/>
      <c r="G476" s="16"/>
    </row>
    <row r="477">
      <c r="C477" s="21"/>
      <c r="G477" s="16"/>
    </row>
    <row r="478">
      <c r="C478" s="21"/>
      <c r="G478" s="16"/>
    </row>
    <row r="479">
      <c r="C479" s="21"/>
      <c r="G479" s="16"/>
    </row>
    <row r="480">
      <c r="C480" s="21"/>
      <c r="G480" s="16"/>
    </row>
    <row r="481">
      <c r="C481" s="21"/>
      <c r="G481" s="16"/>
    </row>
    <row r="482">
      <c r="C482" s="21"/>
      <c r="G482" s="16"/>
    </row>
    <row r="483">
      <c r="C483" s="21"/>
      <c r="G483" s="16"/>
    </row>
    <row r="484">
      <c r="C484" s="21"/>
      <c r="G484" s="16"/>
    </row>
    <row r="485">
      <c r="C485" s="21"/>
      <c r="G485" s="16"/>
    </row>
    <row r="486">
      <c r="C486" s="21"/>
      <c r="G486" s="16"/>
    </row>
    <row r="487">
      <c r="C487" s="21"/>
      <c r="G487" s="16"/>
    </row>
    <row r="488">
      <c r="C488" s="21"/>
      <c r="G488" s="16"/>
    </row>
    <row r="489">
      <c r="C489" s="21"/>
      <c r="G489" s="16"/>
    </row>
    <row r="490">
      <c r="C490" s="21"/>
      <c r="G490" s="16"/>
    </row>
    <row r="491">
      <c r="C491" s="21"/>
      <c r="G491" s="16"/>
    </row>
    <row r="492">
      <c r="C492" s="21"/>
      <c r="G492" s="16"/>
    </row>
    <row r="493">
      <c r="C493" s="21"/>
      <c r="G493" s="16"/>
    </row>
    <row r="494">
      <c r="C494" s="21"/>
      <c r="G494" s="16"/>
    </row>
    <row r="495">
      <c r="C495" s="21"/>
      <c r="G495" s="16"/>
    </row>
    <row r="496">
      <c r="C496" s="21"/>
      <c r="G496" s="16"/>
    </row>
    <row r="497">
      <c r="C497" s="21"/>
      <c r="G497" s="16"/>
    </row>
    <row r="498">
      <c r="C498" s="21"/>
      <c r="G498" s="16"/>
    </row>
    <row r="499">
      <c r="C499" s="21"/>
      <c r="G499" s="16"/>
    </row>
    <row r="500">
      <c r="C500" s="21"/>
      <c r="G500" s="16"/>
    </row>
    <row r="501">
      <c r="C501" s="21"/>
      <c r="G501" s="16"/>
    </row>
    <row r="502">
      <c r="C502" s="21"/>
      <c r="G502" s="16"/>
    </row>
    <row r="503">
      <c r="C503" s="21"/>
      <c r="G503" s="16"/>
    </row>
    <row r="504">
      <c r="C504" s="21"/>
      <c r="G504" s="16"/>
    </row>
    <row r="505">
      <c r="C505" s="21"/>
      <c r="G505" s="16"/>
    </row>
    <row r="506">
      <c r="C506" s="21"/>
      <c r="G506" s="16"/>
    </row>
    <row r="507">
      <c r="C507" s="21"/>
      <c r="G507" s="16"/>
    </row>
    <row r="508">
      <c r="C508" s="21"/>
      <c r="G508" s="16"/>
    </row>
    <row r="509">
      <c r="C509" s="21"/>
      <c r="G509" s="16"/>
    </row>
    <row r="510">
      <c r="C510" s="21"/>
      <c r="G510" s="16"/>
    </row>
    <row r="511">
      <c r="C511" s="21"/>
      <c r="G511" s="16"/>
    </row>
    <row r="512">
      <c r="C512" s="21"/>
      <c r="G512" s="16"/>
    </row>
    <row r="513">
      <c r="C513" s="21"/>
      <c r="G513" s="16"/>
    </row>
    <row r="514">
      <c r="C514" s="21"/>
      <c r="G514" s="16"/>
    </row>
    <row r="515">
      <c r="C515" s="21"/>
      <c r="G515" s="16"/>
    </row>
    <row r="516">
      <c r="C516" s="21"/>
      <c r="G516" s="16"/>
    </row>
    <row r="517">
      <c r="C517" s="21"/>
      <c r="G517" s="16"/>
    </row>
    <row r="518">
      <c r="C518" s="21"/>
      <c r="G518" s="16"/>
    </row>
    <row r="519">
      <c r="C519" s="21"/>
      <c r="G519" s="16"/>
    </row>
    <row r="520">
      <c r="C520" s="21"/>
      <c r="G520" s="16"/>
    </row>
    <row r="521">
      <c r="C521" s="21"/>
      <c r="G521" s="16"/>
    </row>
    <row r="522">
      <c r="C522" s="21"/>
      <c r="G522" s="16"/>
    </row>
    <row r="523">
      <c r="C523" s="21"/>
      <c r="G523" s="16"/>
    </row>
    <row r="524">
      <c r="C524" s="21"/>
      <c r="G524" s="16"/>
    </row>
    <row r="525">
      <c r="C525" s="21"/>
      <c r="G525" s="16"/>
    </row>
    <row r="526">
      <c r="C526" s="21"/>
      <c r="G526" s="16"/>
    </row>
    <row r="527">
      <c r="C527" s="21"/>
      <c r="G527" s="16"/>
    </row>
    <row r="528">
      <c r="C528" s="21"/>
      <c r="G528" s="16"/>
    </row>
    <row r="529">
      <c r="C529" s="21"/>
      <c r="G529" s="16"/>
    </row>
    <row r="530">
      <c r="C530" s="21"/>
      <c r="G530" s="16"/>
    </row>
    <row r="531">
      <c r="C531" s="21"/>
      <c r="G531" s="16"/>
    </row>
    <row r="532">
      <c r="C532" s="21"/>
      <c r="G532" s="16"/>
    </row>
    <row r="533">
      <c r="C533" s="21"/>
      <c r="G533" s="16"/>
    </row>
    <row r="534">
      <c r="C534" s="21"/>
      <c r="G534" s="16"/>
    </row>
    <row r="535">
      <c r="C535" s="21"/>
      <c r="G535" s="16"/>
    </row>
    <row r="536">
      <c r="C536" s="21"/>
      <c r="G536" s="16"/>
    </row>
    <row r="537">
      <c r="C537" s="21"/>
      <c r="G537" s="16"/>
    </row>
    <row r="538">
      <c r="C538" s="21"/>
      <c r="G538" s="16"/>
    </row>
    <row r="539">
      <c r="C539" s="21"/>
      <c r="G539" s="16"/>
    </row>
    <row r="540">
      <c r="C540" s="21"/>
      <c r="G540" s="16"/>
    </row>
    <row r="541">
      <c r="C541" s="21"/>
      <c r="G541" s="16"/>
    </row>
    <row r="542">
      <c r="C542" s="21"/>
      <c r="G542" s="16"/>
    </row>
    <row r="543">
      <c r="C543" s="21"/>
      <c r="G543" s="16"/>
    </row>
    <row r="544">
      <c r="C544" s="21"/>
      <c r="G544" s="16"/>
    </row>
    <row r="545">
      <c r="C545" s="21"/>
      <c r="G545" s="16"/>
    </row>
    <row r="546">
      <c r="C546" s="21"/>
      <c r="G546" s="16"/>
    </row>
    <row r="547">
      <c r="C547" s="21"/>
      <c r="G547" s="16"/>
    </row>
    <row r="548">
      <c r="C548" s="21"/>
      <c r="G548" s="16"/>
    </row>
    <row r="549">
      <c r="C549" s="21"/>
      <c r="G549" s="16"/>
    </row>
    <row r="550">
      <c r="C550" s="21"/>
      <c r="G550" s="16"/>
    </row>
    <row r="551">
      <c r="C551" s="21"/>
      <c r="G551" s="16"/>
    </row>
    <row r="552">
      <c r="C552" s="21"/>
      <c r="G552" s="16"/>
    </row>
    <row r="553">
      <c r="C553" s="21"/>
      <c r="G553" s="16"/>
    </row>
    <row r="554">
      <c r="C554" s="21"/>
      <c r="G554" s="16"/>
    </row>
    <row r="555">
      <c r="C555" s="21"/>
      <c r="G555" s="16"/>
    </row>
    <row r="556">
      <c r="C556" s="21"/>
      <c r="G556" s="16"/>
    </row>
    <row r="557">
      <c r="C557" s="21"/>
      <c r="G557" s="16"/>
    </row>
    <row r="558">
      <c r="C558" s="21"/>
      <c r="G558" s="16"/>
    </row>
    <row r="559">
      <c r="C559" s="21"/>
      <c r="G559" s="16"/>
    </row>
    <row r="560">
      <c r="C560" s="21"/>
      <c r="G560" s="16"/>
    </row>
    <row r="561">
      <c r="C561" s="21"/>
      <c r="G561" s="16"/>
    </row>
    <row r="562">
      <c r="C562" s="21"/>
      <c r="G562" s="16"/>
    </row>
    <row r="563">
      <c r="C563" s="21"/>
      <c r="G563" s="16"/>
    </row>
    <row r="564">
      <c r="C564" s="21"/>
      <c r="G564" s="16"/>
    </row>
    <row r="565">
      <c r="C565" s="21"/>
      <c r="G565" s="16"/>
    </row>
    <row r="566">
      <c r="C566" s="21"/>
      <c r="G566" s="16"/>
    </row>
    <row r="567">
      <c r="C567" s="21"/>
      <c r="G567" s="16"/>
    </row>
    <row r="568">
      <c r="C568" s="21"/>
      <c r="G568" s="16"/>
    </row>
    <row r="569">
      <c r="C569" s="21"/>
      <c r="G569" s="16"/>
    </row>
    <row r="570">
      <c r="C570" s="21"/>
      <c r="G570" s="16"/>
    </row>
    <row r="571">
      <c r="C571" s="21"/>
      <c r="G571" s="16"/>
    </row>
    <row r="572">
      <c r="C572" s="21"/>
      <c r="G572" s="16"/>
    </row>
    <row r="573">
      <c r="C573" s="21"/>
      <c r="G573" s="16"/>
    </row>
    <row r="574">
      <c r="C574" s="21"/>
      <c r="G574" s="16"/>
    </row>
    <row r="575">
      <c r="C575" s="21"/>
      <c r="G575" s="16"/>
    </row>
    <row r="576">
      <c r="C576" s="21"/>
      <c r="G576" s="16"/>
    </row>
    <row r="577">
      <c r="C577" s="21"/>
      <c r="G577" s="16"/>
    </row>
    <row r="578">
      <c r="C578" s="21"/>
      <c r="G578" s="16"/>
    </row>
    <row r="579">
      <c r="C579" s="21"/>
      <c r="G579" s="16"/>
    </row>
    <row r="580">
      <c r="C580" s="21"/>
      <c r="G580" s="16"/>
    </row>
    <row r="581">
      <c r="C581" s="21"/>
      <c r="G581" s="16"/>
    </row>
    <row r="582">
      <c r="C582" s="21"/>
      <c r="G582" s="16"/>
    </row>
    <row r="583">
      <c r="C583" s="21"/>
      <c r="G583" s="16"/>
    </row>
    <row r="584">
      <c r="C584" s="21"/>
      <c r="G584" s="16"/>
    </row>
    <row r="585">
      <c r="C585" s="21"/>
      <c r="G585" s="16"/>
    </row>
    <row r="586">
      <c r="C586" s="21"/>
      <c r="G586" s="16"/>
    </row>
    <row r="587">
      <c r="C587" s="21"/>
      <c r="G587" s="16"/>
    </row>
    <row r="588">
      <c r="C588" s="21"/>
      <c r="G588" s="16"/>
    </row>
    <row r="589">
      <c r="C589" s="21"/>
      <c r="G589" s="16"/>
    </row>
    <row r="590">
      <c r="C590" s="21"/>
      <c r="G590" s="16"/>
    </row>
    <row r="591">
      <c r="C591" s="21"/>
      <c r="G591" s="16"/>
    </row>
    <row r="592">
      <c r="C592" s="21"/>
      <c r="G592" s="16"/>
    </row>
    <row r="593">
      <c r="C593" s="21"/>
      <c r="G593" s="16"/>
    </row>
    <row r="594">
      <c r="C594" s="21"/>
      <c r="G594" s="16"/>
    </row>
    <row r="595">
      <c r="C595" s="21"/>
      <c r="G595" s="16"/>
    </row>
    <row r="596">
      <c r="C596" s="21"/>
      <c r="G596" s="16"/>
    </row>
    <row r="597">
      <c r="C597" s="21"/>
      <c r="G597" s="16"/>
    </row>
    <row r="598">
      <c r="C598" s="21"/>
      <c r="G598" s="16"/>
    </row>
    <row r="599">
      <c r="C599" s="21"/>
      <c r="G599" s="16"/>
    </row>
    <row r="600">
      <c r="C600" s="21"/>
      <c r="G600" s="16"/>
    </row>
    <row r="601">
      <c r="C601" s="21"/>
      <c r="G601" s="16"/>
    </row>
    <row r="602">
      <c r="C602" s="21"/>
      <c r="G602" s="16"/>
    </row>
    <row r="603">
      <c r="C603" s="21"/>
      <c r="G603" s="16"/>
    </row>
    <row r="604">
      <c r="C604" s="21"/>
      <c r="G604" s="16"/>
    </row>
    <row r="605">
      <c r="C605" s="21"/>
      <c r="G605" s="16"/>
    </row>
    <row r="606">
      <c r="C606" s="21"/>
      <c r="G606" s="16"/>
    </row>
    <row r="607">
      <c r="C607" s="21"/>
      <c r="G607" s="16"/>
    </row>
    <row r="608">
      <c r="C608" s="21"/>
      <c r="G608" s="16"/>
    </row>
    <row r="609">
      <c r="C609" s="21"/>
      <c r="G609" s="16"/>
    </row>
    <row r="610">
      <c r="C610" s="21"/>
      <c r="G610" s="16"/>
    </row>
    <row r="611">
      <c r="C611" s="21"/>
      <c r="G611" s="16"/>
    </row>
    <row r="612">
      <c r="C612" s="21"/>
      <c r="G612" s="16"/>
    </row>
    <row r="613">
      <c r="C613" s="21"/>
      <c r="G613" s="16"/>
    </row>
    <row r="614">
      <c r="C614" s="21"/>
      <c r="G614" s="16"/>
    </row>
    <row r="615">
      <c r="C615" s="21"/>
      <c r="G615" s="16"/>
    </row>
    <row r="616">
      <c r="C616" s="21"/>
      <c r="G616" s="16"/>
    </row>
    <row r="617">
      <c r="C617" s="21"/>
      <c r="G617" s="16"/>
    </row>
    <row r="618">
      <c r="C618" s="21"/>
      <c r="G618" s="16"/>
    </row>
    <row r="619">
      <c r="C619" s="21"/>
      <c r="G619" s="16"/>
    </row>
    <row r="620">
      <c r="C620" s="21"/>
      <c r="G620" s="16"/>
    </row>
    <row r="621">
      <c r="C621" s="21"/>
      <c r="G621" s="16"/>
    </row>
    <row r="622">
      <c r="C622" s="21"/>
      <c r="G622" s="16"/>
    </row>
    <row r="623">
      <c r="C623" s="21"/>
      <c r="G623" s="16"/>
    </row>
    <row r="624">
      <c r="C624" s="21"/>
      <c r="G624" s="16"/>
    </row>
    <row r="625">
      <c r="C625" s="21"/>
      <c r="G625" s="16"/>
    </row>
    <row r="626">
      <c r="C626" s="21"/>
      <c r="G626" s="16"/>
    </row>
    <row r="627">
      <c r="C627" s="21"/>
      <c r="G627" s="16"/>
    </row>
    <row r="628">
      <c r="C628" s="21"/>
      <c r="G628" s="16"/>
    </row>
    <row r="629">
      <c r="C629" s="21"/>
      <c r="G629" s="16"/>
    </row>
    <row r="630">
      <c r="C630" s="21"/>
      <c r="G630" s="16"/>
    </row>
    <row r="631">
      <c r="C631" s="21"/>
      <c r="G631" s="16"/>
    </row>
    <row r="632">
      <c r="C632" s="21"/>
      <c r="G632" s="16"/>
    </row>
    <row r="633">
      <c r="C633" s="21"/>
      <c r="G633" s="16"/>
    </row>
    <row r="634">
      <c r="C634" s="21"/>
      <c r="G634" s="16"/>
    </row>
    <row r="635">
      <c r="C635" s="21"/>
      <c r="G635" s="16"/>
    </row>
    <row r="636">
      <c r="C636" s="21"/>
      <c r="G636" s="16"/>
    </row>
    <row r="637">
      <c r="C637" s="21"/>
      <c r="G637" s="16"/>
    </row>
    <row r="638">
      <c r="C638" s="21"/>
      <c r="G638" s="16"/>
    </row>
    <row r="639">
      <c r="C639" s="21"/>
      <c r="G639" s="16"/>
    </row>
    <row r="640">
      <c r="C640" s="21"/>
      <c r="G640" s="16"/>
    </row>
    <row r="641">
      <c r="C641" s="21"/>
      <c r="G641" s="16"/>
    </row>
    <row r="642">
      <c r="C642" s="21"/>
      <c r="G642" s="16"/>
    </row>
    <row r="643">
      <c r="C643" s="21"/>
      <c r="G643" s="16"/>
    </row>
    <row r="644">
      <c r="C644" s="21"/>
      <c r="G644" s="16"/>
    </row>
    <row r="645">
      <c r="C645" s="21"/>
      <c r="G645" s="16"/>
    </row>
    <row r="646">
      <c r="C646" s="21"/>
      <c r="G646" s="16"/>
    </row>
    <row r="647">
      <c r="C647" s="21"/>
      <c r="G647" s="16"/>
    </row>
    <row r="648">
      <c r="C648" s="21"/>
      <c r="G648" s="16"/>
    </row>
    <row r="649">
      <c r="C649" s="21"/>
      <c r="G649" s="16"/>
    </row>
    <row r="650">
      <c r="C650" s="21"/>
      <c r="G650" s="16"/>
    </row>
    <row r="651">
      <c r="C651" s="21"/>
      <c r="G651" s="16"/>
    </row>
    <row r="652">
      <c r="C652" s="21"/>
      <c r="G652" s="16"/>
    </row>
    <row r="653">
      <c r="C653" s="21"/>
      <c r="G653" s="16"/>
    </row>
    <row r="654">
      <c r="C654" s="21"/>
      <c r="G654" s="16"/>
    </row>
    <row r="655">
      <c r="C655" s="21"/>
      <c r="G655" s="16"/>
    </row>
    <row r="656">
      <c r="C656" s="21"/>
      <c r="G656" s="16"/>
    </row>
    <row r="657">
      <c r="C657" s="21"/>
      <c r="G657" s="16"/>
    </row>
    <row r="658">
      <c r="C658" s="21"/>
      <c r="G658" s="16"/>
    </row>
    <row r="659">
      <c r="C659" s="21"/>
      <c r="G659" s="16"/>
    </row>
    <row r="660">
      <c r="C660" s="21"/>
      <c r="G660" s="16"/>
    </row>
    <row r="661">
      <c r="C661" s="21"/>
      <c r="G661" s="16"/>
    </row>
    <row r="662">
      <c r="C662" s="21"/>
      <c r="G662" s="16"/>
    </row>
    <row r="663">
      <c r="C663" s="21"/>
      <c r="G663" s="16"/>
    </row>
    <row r="664">
      <c r="C664" s="21"/>
      <c r="G664" s="16"/>
    </row>
    <row r="665">
      <c r="C665" s="21"/>
      <c r="G665" s="16"/>
    </row>
    <row r="666">
      <c r="C666" s="21"/>
      <c r="G666" s="16"/>
    </row>
    <row r="667">
      <c r="C667" s="21"/>
      <c r="G667" s="16"/>
    </row>
    <row r="668">
      <c r="C668" s="21"/>
      <c r="G668" s="16"/>
    </row>
    <row r="669">
      <c r="C669" s="21"/>
      <c r="G669" s="16"/>
    </row>
    <row r="670">
      <c r="C670" s="21"/>
      <c r="G670" s="16"/>
    </row>
    <row r="671">
      <c r="C671" s="21"/>
      <c r="G671" s="16"/>
    </row>
    <row r="672">
      <c r="C672" s="21"/>
      <c r="G672" s="16"/>
    </row>
    <row r="673">
      <c r="C673" s="21"/>
      <c r="G673" s="16"/>
    </row>
    <row r="674">
      <c r="C674" s="21"/>
      <c r="G674" s="16"/>
    </row>
    <row r="675">
      <c r="C675" s="21"/>
      <c r="G675" s="16"/>
    </row>
    <row r="676">
      <c r="C676" s="21"/>
      <c r="G676" s="16"/>
    </row>
    <row r="677">
      <c r="C677" s="21"/>
      <c r="G677" s="16"/>
    </row>
    <row r="678">
      <c r="C678" s="21"/>
      <c r="G678" s="16"/>
    </row>
    <row r="679">
      <c r="C679" s="21"/>
      <c r="G679" s="16"/>
    </row>
    <row r="680">
      <c r="C680" s="21"/>
      <c r="G680" s="16"/>
    </row>
    <row r="681">
      <c r="C681" s="21"/>
      <c r="G681" s="16"/>
    </row>
    <row r="682">
      <c r="C682" s="21"/>
      <c r="G682" s="16"/>
    </row>
    <row r="683">
      <c r="C683" s="21"/>
      <c r="G683" s="16"/>
    </row>
    <row r="684">
      <c r="C684" s="21"/>
      <c r="G684" s="16"/>
    </row>
    <row r="685">
      <c r="C685" s="21"/>
      <c r="G685" s="16"/>
    </row>
    <row r="686">
      <c r="C686" s="21"/>
      <c r="G686" s="16"/>
    </row>
    <row r="687">
      <c r="C687" s="21"/>
      <c r="G687" s="16"/>
    </row>
    <row r="688">
      <c r="C688" s="21"/>
      <c r="G688" s="16"/>
    </row>
    <row r="689">
      <c r="C689" s="21"/>
      <c r="G689" s="16"/>
    </row>
    <row r="690">
      <c r="C690" s="21"/>
      <c r="G690" s="16"/>
    </row>
    <row r="691">
      <c r="C691" s="21"/>
      <c r="G691" s="16"/>
    </row>
    <row r="692">
      <c r="C692" s="21"/>
      <c r="G692" s="16"/>
    </row>
    <row r="693">
      <c r="C693" s="21"/>
      <c r="G693" s="16"/>
    </row>
    <row r="694">
      <c r="C694" s="21"/>
      <c r="G694" s="16"/>
    </row>
    <row r="695">
      <c r="C695" s="21"/>
      <c r="G695" s="16"/>
    </row>
    <row r="696">
      <c r="C696" s="21"/>
      <c r="G696" s="16"/>
    </row>
    <row r="697">
      <c r="C697" s="21"/>
      <c r="G697" s="16"/>
    </row>
    <row r="698">
      <c r="C698" s="21"/>
      <c r="G698" s="16"/>
    </row>
    <row r="699">
      <c r="C699" s="21"/>
      <c r="G699" s="16"/>
    </row>
    <row r="700">
      <c r="C700" s="21"/>
      <c r="G700" s="16"/>
    </row>
    <row r="701">
      <c r="C701" s="21"/>
      <c r="G701" s="16"/>
    </row>
    <row r="702">
      <c r="C702" s="21"/>
      <c r="G702" s="16"/>
    </row>
    <row r="703">
      <c r="C703" s="21"/>
      <c r="G703" s="16"/>
    </row>
    <row r="704">
      <c r="C704" s="21"/>
      <c r="G704" s="16"/>
    </row>
    <row r="705">
      <c r="C705" s="21"/>
      <c r="G705" s="16"/>
    </row>
    <row r="706">
      <c r="C706" s="21"/>
      <c r="G706" s="16"/>
    </row>
    <row r="707">
      <c r="C707" s="21"/>
      <c r="G707" s="16"/>
    </row>
    <row r="708">
      <c r="C708" s="21"/>
      <c r="G708" s="16"/>
    </row>
    <row r="709">
      <c r="C709" s="21"/>
      <c r="G709" s="16"/>
    </row>
    <row r="710">
      <c r="C710" s="21"/>
      <c r="G710" s="16"/>
    </row>
    <row r="711">
      <c r="C711" s="21"/>
      <c r="G711" s="16"/>
    </row>
    <row r="712">
      <c r="C712" s="21"/>
      <c r="G712" s="16"/>
    </row>
    <row r="713">
      <c r="C713" s="21"/>
      <c r="G713" s="16"/>
    </row>
    <row r="714">
      <c r="C714" s="21"/>
      <c r="G714" s="16"/>
    </row>
    <row r="715">
      <c r="C715" s="21"/>
      <c r="G715" s="16"/>
    </row>
    <row r="716">
      <c r="C716" s="21"/>
      <c r="G716" s="16"/>
    </row>
    <row r="717">
      <c r="C717" s="21"/>
      <c r="G717" s="16"/>
    </row>
    <row r="718">
      <c r="C718" s="21"/>
      <c r="G718" s="16"/>
    </row>
    <row r="719">
      <c r="C719" s="21"/>
      <c r="G719" s="16"/>
    </row>
    <row r="720">
      <c r="C720" s="21"/>
      <c r="G720" s="16"/>
    </row>
    <row r="721">
      <c r="C721" s="21"/>
      <c r="G721" s="16"/>
    </row>
    <row r="722">
      <c r="C722" s="21"/>
      <c r="G722" s="16"/>
    </row>
    <row r="723">
      <c r="C723" s="21"/>
      <c r="G723" s="16"/>
    </row>
    <row r="724">
      <c r="C724" s="21"/>
      <c r="G724" s="16"/>
    </row>
    <row r="725">
      <c r="C725" s="21"/>
      <c r="G725" s="16"/>
    </row>
    <row r="726">
      <c r="C726" s="21"/>
      <c r="G726" s="16"/>
    </row>
    <row r="727">
      <c r="C727" s="21"/>
      <c r="G727" s="16"/>
    </row>
    <row r="728">
      <c r="C728" s="21"/>
      <c r="G728" s="16"/>
    </row>
    <row r="729">
      <c r="C729" s="21"/>
      <c r="G729" s="16"/>
    </row>
    <row r="730">
      <c r="C730" s="21"/>
      <c r="G730" s="16"/>
    </row>
    <row r="731">
      <c r="C731" s="21"/>
      <c r="G731" s="16"/>
    </row>
    <row r="732">
      <c r="C732" s="21"/>
      <c r="G732" s="16"/>
    </row>
    <row r="733">
      <c r="C733" s="21"/>
      <c r="G733" s="16"/>
    </row>
    <row r="734">
      <c r="C734" s="21"/>
      <c r="G734" s="16"/>
    </row>
    <row r="735">
      <c r="C735" s="21"/>
      <c r="G735" s="16"/>
    </row>
    <row r="736">
      <c r="C736" s="21"/>
      <c r="G736" s="16"/>
    </row>
    <row r="737">
      <c r="C737" s="21"/>
      <c r="G737" s="16"/>
    </row>
    <row r="738">
      <c r="C738" s="21"/>
      <c r="G738" s="16"/>
    </row>
    <row r="739">
      <c r="C739" s="21"/>
      <c r="G739" s="16"/>
    </row>
    <row r="740">
      <c r="C740" s="21"/>
      <c r="G740" s="16"/>
    </row>
    <row r="741">
      <c r="C741" s="21"/>
      <c r="G741" s="16"/>
    </row>
    <row r="742">
      <c r="C742" s="21"/>
      <c r="G742" s="16"/>
    </row>
    <row r="743">
      <c r="C743" s="21"/>
      <c r="G743" s="16"/>
    </row>
    <row r="744">
      <c r="C744" s="21"/>
      <c r="G744" s="16"/>
    </row>
    <row r="745">
      <c r="C745" s="21"/>
      <c r="G745" s="16"/>
    </row>
    <row r="746">
      <c r="C746" s="21"/>
      <c r="G746" s="16"/>
    </row>
    <row r="747">
      <c r="C747" s="21"/>
      <c r="G747" s="16"/>
    </row>
    <row r="748">
      <c r="C748" s="21"/>
      <c r="G748" s="16"/>
    </row>
    <row r="749">
      <c r="C749" s="21"/>
      <c r="G749" s="16"/>
    </row>
    <row r="750">
      <c r="C750" s="21"/>
      <c r="G750" s="16"/>
    </row>
    <row r="751">
      <c r="C751" s="21"/>
      <c r="G751" s="16"/>
    </row>
    <row r="752">
      <c r="C752" s="21"/>
      <c r="G752" s="16"/>
    </row>
    <row r="753">
      <c r="C753" s="21"/>
      <c r="G753" s="16"/>
    </row>
    <row r="754">
      <c r="C754" s="21"/>
      <c r="G754" s="16"/>
    </row>
    <row r="755">
      <c r="C755" s="21"/>
      <c r="G755" s="16"/>
    </row>
    <row r="756">
      <c r="C756" s="21"/>
      <c r="G756" s="16"/>
    </row>
    <row r="757">
      <c r="C757" s="21"/>
      <c r="G757" s="16"/>
    </row>
    <row r="758">
      <c r="C758" s="21"/>
      <c r="G758" s="16"/>
    </row>
    <row r="759">
      <c r="C759" s="21"/>
      <c r="G759" s="16"/>
    </row>
    <row r="760">
      <c r="C760" s="21"/>
      <c r="G760" s="16"/>
    </row>
    <row r="761">
      <c r="C761" s="21"/>
      <c r="G761" s="16"/>
    </row>
    <row r="762">
      <c r="C762" s="21"/>
      <c r="G762" s="16"/>
    </row>
    <row r="763">
      <c r="C763" s="21"/>
      <c r="G763" s="16"/>
    </row>
    <row r="764">
      <c r="C764" s="21"/>
      <c r="G764" s="16"/>
    </row>
    <row r="765">
      <c r="C765" s="21"/>
      <c r="G765" s="16"/>
    </row>
    <row r="766">
      <c r="C766" s="21"/>
      <c r="G766" s="16"/>
    </row>
    <row r="767">
      <c r="C767" s="21"/>
      <c r="G767" s="16"/>
    </row>
    <row r="768">
      <c r="C768" s="21"/>
      <c r="G768" s="16"/>
    </row>
    <row r="769">
      <c r="C769" s="21"/>
      <c r="G769" s="16"/>
    </row>
    <row r="770">
      <c r="C770" s="21"/>
      <c r="G770" s="16"/>
    </row>
    <row r="771">
      <c r="C771" s="21"/>
      <c r="G771" s="16"/>
    </row>
    <row r="772">
      <c r="C772" s="21"/>
      <c r="G772" s="16"/>
    </row>
    <row r="773">
      <c r="C773" s="21"/>
      <c r="G773" s="16"/>
    </row>
    <row r="774">
      <c r="C774" s="21"/>
      <c r="G774" s="16"/>
    </row>
    <row r="775">
      <c r="C775" s="21"/>
      <c r="G775" s="16"/>
    </row>
    <row r="776">
      <c r="C776" s="21"/>
      <c r="G776" s="16"/>
    </row>
    <row r="777">
      <c r="C777" s="21"/>
      <c r="G777" s="16"/>
    </row>
    <row r="778">
      <c r="C778" s="21"/>
      <c r="G778" s="16"/>
    </row>
    <row r="779">
      <c r="C779" s="21"/>
      <c r="G779" s="16"/>
    </row>
    <row r="780">
      <c r="C780" s="21"/>
      <c r="G780" s="16"/>
    </row>
    <row r="781">
      <c r="C781" s="21"/>
      <c r="G781" s="16"/>
    </row>
    <row r="782">
      <c r="C782" s="21"/>
      <c r="G782" s="16"/>
    </row>
    <row r="783">
      <c r="C783" s="21"/>
      <c r="G783" s="16"/>
    </row>
    <row r="784">
      <c r="C784" s="21"/>
      <c r="G784" s="16"/>
    </row>
    <row r="785">
      <c r="C785" s="21"/>
      <c r="G785" s="16"/>
    </row>
    <row r="786">
      <c r="C786" s="21"/>
      <c r="G786" s="16"/>
    </row>
    <row r="787">
      <c r="C787" s="21"/>
      <c r="G787" s="16"/>
    </row>
    <row r="788">
      <c r="C788" s="21"/>
      <c r="G788" s="16"/>
    </row>
    <row r="789">
      <c r="C789" s="21"/>
      <c r="G789" s="16"/>
    </row>
    <row r="790">
      <c r="C790" s="21"/>
      <c r="G790" s="16"/>
    </row>
    <row r="791">
      <c r="C791" s="21"/>
      <c r="G791" s="16"/>
    </row>
    <row r="792">
      <c r="C792" s="21"/>
      <c r="G792" s="16"/>
    </row>
    <row r="793">
      <c r="C793" s="21"/>
      <c r="G793" s="16"/>
    </row>
    <row r="794">
      <c r="C794" s="21"/>
      <c r="G794" s="16"/>
    </row>
    <row r="795">
      <c r="C795" s="21"/>
      <c r="G795" s="16"/>
    </row>
    <row r="796">
      <c r="C796" s="21"/>
      <c r="G796" s="16"/>
    </row>
    <row r="797">
      <c r="C797" s="21"/>
      <c r="G797" s="16"/>
    </row>
    <row r="798">
      <c r="C798" s="21"/>
      <c r="G798" s="16"/>
    </row>
    <row r="799">
      <c r="C799" s="21"/>
      <c r="G799" s="16"/>
    </row>
    <row r="800">
      <c r="C800" s="21"/>
      <c r="G800" s="16"/>
    </row>
    <row r="801">
      <c r="C801" s="21"/>
      <c r="G801" s="16"/>
    </row>
    <row r="802">
      <c r="C802" s="21"/>
      <c r="G802" s="16"/>
    </row>
    <row r="803">
      <c r="C803" s="21"/>
      <c r="G803" s="16"/>
    </row>
    <row r="804">
      <c r="C804" s="21"/>
      <c r="G804" s="16"/>
    </row>
    <row r="805">
      <c r="C805" s="21"/>
      <c r="G805" s="16"/>
    </row>
    <row r="806">
      <c r="C806" s="21"/>
      <c r="G806" s="16"/>
    </row>
    <row r="807">
      <c r="C807" s="21"/>
      <c r="G807" s="16"/>
    </row>
    <row r="808">
      <c r="C808" s="21"/>
      <c r="G808" s="16"/>
    </row>
    <row r="809">
      <c r="C809" s="21"/>
      <c r="G809" s="16"/>
    </row>
    <row r="810">
      <c r="C810" s="21"/>
      <c r="G810" s="16"/>
    </row>
    <row r="811">
      <c r="C811" s="21"/>
      <c r="G811" s="16"/>
    </row>
    <row r="812">
      <c r="C812" s="21"/>
      <c r="G812" s="16"/>
    </row>
    <row r="813">
      <c r="C813" s="21"/>
      <c r="G813" s="16"/>
    </row>
    <row r="814">
      <c r="C814" s="21"/>
      <c r="G814" s="16"/>
    </row>
    <row r="815">
      <c r="C815" s="21"/>
      <c r="G815" s="16"/>
    </row>
    <row r="816">
      <c r="C816" s="21"/>
      <c r="G816" s="16"/>
    </row>
    <row r="817">
      <c r="C817" s="21"/>
      <c r="G817" s="16"/>
    </row>
    <row r="818">
      <c r="C818" s="21"/>
      <c r="G818" s="16"/>
    </row>
    <row r="819">
      <c r="C819" s="21"/>
      <c r="G819" s="16"/>
    </row>
    <row r="820">
      <c r="C820" s="21"/>
      <c r="G820" s="16"/>
    </row>
    <row r="821">
      <c r="C821" s="21"/>
      <c r="G821" s="16"/>
    </row>
    <row r="822">
      <c r="C822" s="21"/>
      <c r="G822" s="16"/>
    </row>
    <row r="823">
      <c r="C823" s="21"/>
      <c r="G823" s="16"/>
    </row>
    <row r="824">
      <c r="C824" s="21"/>
      <c r="G824" s="16"/>
    </row>
    <row r="825">
      <c r="C825" s="21"/>
      <c r="G825" s="16"/>
    </row>
    <row r="826">
      <c r="C826" s="21"/>
      <c r="G826" s="16"/>
    </row>
    <row r="827">
      <c r="C827" s="21"/>
      <c r="G827" s="16"/>
    </row>
    <row r="828">
      <c r="C828" s="21"/>
      <c r="G828" s="16"/>
    </row>
    <row r="829">
      <c r="C829" s="21"/>
      <c r="G829" s="16"/>
    </row>
    <row r="830">
      <c r="C830" s="21"/>
      <c r="G830" s="16"/>
    </row>
    <row r="831">
      <c r="C831" s="21"/>
      <c r="G831" s="16"/>
    </row>
    <row r="832">
      <c r="C832" s="21"/>
      <c r="G832" s="16"/>
    </row>
    <row r="833">
      <c r="C833" s="21"/>
      <c r="G833" s="16"/>
    </row>
    <row r="834">
      <c r="C834" s="21"/>
      <c r="G834" s="16"/>
    </row>
    <row r="835">
      <c r="C835" s="21"/>
      <c r="G835" s="16"/>
    </row>
    <row r="836">
      <c r="C836" s="21"/>
      <c r="G836" s="16"/>
    </row>
    <row r="837">
      <c r="C837" s="21"/>
      <c r="G837" s="16"/>
    </row>
    <row r="838">
      <c r="C838" s="21"/>
      <c r="G838" s="16"/>
    </row>
    <row r="839">
      <c r="C839" s="21"/>
      <c r="G839" s="16"/>
    </row>
    <row r="840">
      <c r="C840" s="21"/>
      <c r="G840" s="16"/>
    </row>
    <row r="841">
      <c r="C841" s="21"/>
      <c r="G841" s="16"/>
    </row>
    <row r="842">
      <c r="C842" s="21"/>
      <c r="G842" s="16"/>
    </row>
    <row r="843">
      <c r="C843" s="21"/>
      <c r="G843" s="16"/>
    </row>
    <row r="844">
      <c r="C844" s="21"/>
      <c r="G844" s="16"/>
    </row>
    <row r="845">
      <c r="C845" s="21"/>
      <c r="G845" s="16"/>
    </row>
    <row r="846">
      <c r="C846" s="21"/>
      <c r="G846" s="16"/>
    </row>
    <row r="847">
      <c r="C847" s="21"/>
      <c r="G847" s="16"/>
    </row>
    <row r="848">
      <c r="C848" s="21"/>
      <c r="G848" s="16"/>
    </row>
    <row r="849">
      <c r="C849" s="21"/>
      <c r="G849" s="16"/>
    </row>
    <row r="850">
      <c r="C850" s="21"/>
      <c r="G850" s="16"/>
    </row>
    <row r="851">
      <c r="C851" s="21"/>
      <c r="G851" s="16"/>
    </row>
    <row r="852">
      <c r="C852" s="21"/>
      <c r="G852" s="16"/>
    </row>
    <row r="853">
      <c r="C853" s="21"/>
      <c r="G853" s="16"/>
    </row>
    <row r="854">
      <c r="C854" s="21"/>
      <c r="G854" s="16"/>
    </row>
    <row r="855">
      <c r="C855" s="21"/>
      <c r="G855" s="16"/>
    </row>
    <row r="856">
      <c r="C856" s="21"/>
      <c r="G856" s="16"/>
    </row>
    <row r="857">
      <c r="C857" s="21"/>
      <c r="G857" s="16"/>
    </row>
    <row r="858">
      <c r="C858" s="21"/>
      <c r="G858" s="16"/>
    </row>
    <row r="859">
      <c r="C859" s="21"/>
      <c r="G859" s="16"/>
    </row>
    <row r="860">
      <c r="C860" s="21"/>
      <c r="G860" s="16"/>
    </row>
    <row r="861">
      <c r="C861" s="21"/>
      <c r="G861" s="16"/>
    </row>
    <row r="862">
      <c r="C862" s="21"/>
      <c r="G862" s="16"/>
    </row>
    <row r="863">
      <c r="C863" s="21"/>
      <c r="G863" s="16"/>
    </row>
    <row r="864">
      <c r="C864" s="21"/>
      <c r="G864" s="16"/>
    </row>
    <row r="865">
      <c r="C865" s="21"/>
      <c r="G865" s="16"/>
    </row>
    <row r="866">
      <c r="C866" s="21"/>
      <c r="G866" s="16"/>
    </row>
    <row r="867">
      <c r="C867" s="21"/>
      <c r="G867" s="16"/>
    </row>
    <row r="868">
      <c r="C868" s="21"/>
      <c r="G868" s="16"/>
    </row>
    <row r="869">
      <c r="C869" s="21"/>
      <c r="G869" s="16"/>
    </row>
    <row r="870">
      <c r="C870" s="21"/>
      <c r="G870" s="16"/>
    </row>
    <row r="871">
      <c r="C871" s="21"/>
      <c r="G871" s="16"/>
    </row>
    <row r="872">
      <c r="C872" s="21"/>
      <c r="G872" s="16"/>
    </row>
    <row r="873">
      <c r="C873" s="21"/>
      <c r="G873" s="16"/>
    </row>
    <row r="874">
      <c r="C874" s="21"/>
      <c r="G874" s="16"/>
    </row>
    <row r="875">
      <c r="C875" s="21"/>
      <c r="G875" s="16"/>
    </row>
    <row r="876">
      <c r="C876" s="21"/>
      <c r="G876" s="16"/>
    </row>
    <row r="877">
      <c r="C877" s="21"/>
      <c r="G877" s="16"/>
    </row>
    <row r="878">
      <c r="C878" s="21"/>
      <c r="G878" s="16"/>
    </row>
    <row r="879">
      <c r="C879" s="21"/>
      <c r="G879" s="16"/>
    </row>
    <row r="880">
      <c r="C880" s="21"/>
      <c r="G880" s="16"/>
    </row>
    <row r="881">
      <c r="C881" s="21"/>
      <c r="G881" s="16"/>
    </row>
    <row r="882">
      <c r="C882" s="21"/>
      <c r="G882" s="16"/>
    </row>
    <row r="883">
      <c r="C883" s="21"/>
      <c r="G883" s="16"/>
    </row>
    <row r="884">
      <c r="C884" s="21"/>
      <c r="G884" s="16"/>
    </row>
    <row r="885">
      <c r="C885" s="21"/>
      <c r="G885" s="16"/>
    </row>
    <row r="886">
      <c r="C886" s="21"/>
      <c r="G886" s="16"/>
    </row>
    <row r="887">
      <c r="C887" s="21"/>
      <c r="G887" s="16"/>
    </row>
    <row r="888">
      <c r="C888" s="21"/>
      <c r="G888" s="16"/>
    </row>
    <row r="889">
      <c r="C889" s="21"/>
      <c r="G889" s="16"/>
    </row>
    <row r="890">
      <c r="C890" s="21"/>
      <c r="G890" s="16"/>
    </row>
    <row r="891">
      <c r="C891" s="21"/>
      <c r="G891" s="16"/>
    </row>
    <row r="892">
      <c r="C892" s="21"/>
      <c r="G892" s="16"/>
    </row>
    <row r="893">
      <c r="C893" s="21"/>
      <c r="G893" s="16"/>
    </row>
    <row r="894">
      <c r="C894" s="21"/>
      <c r="G894" s="16"/>
    </row>
    <row r="895">
      <c r="C895" s="21"/>
      <c r="G895" s="16"/>
    </row>
    <row r="896">
      <c r="C896" s="21"/>
      <c r="G896" s="16"/>
    </row>
    <row r="897">
      <c r="C897" s="21"/>
      <c r="G897" s="16"/>
    </row>
    <row r="898">
      <c r="C898" s="21"/>
      <c r="G898" s="16"/>
    </row>
    <row r="899">
      <c r="C899" s="21"/>
      <c r="G899" s="16"/>
    </row>
    <row r="900">
      <c r="C900" s="21"/>
      <c r="G900" s="16"/>
    </row>
    <row r="901">
      <c r="C901" s="21"/>
      <c r="G901" s="16"/>
    </row>
    <row r="902">
      <c r="C902" s="21"/>
      <c r="G902" s="16"/>
    </row>
    <row r="903">
      <c r="C903" s="21"/>
      <c r="G903" s="16"/>
    </row>
    <row r="904">
      <c r="C904" s="21"/>
      <c r="G904" s="16"/>
    </row>
    <row r="905">
      <c r="C905" s="21"/>
      <c r="G905" s="16"/>
    </row>
    <row r="906">
      <c r="C906" s="21"/>
      <c r="G906" s="16"/>
    </row>
    <row r="907">
      <c r="C907" s="21"/>
      <c r="G907" s="16"/>
    </row>
    <row r="908">
      <c r="C908" s="21"/>
      <c r="G908" s="16"/>
    </row>
    <row r="909">
      <c r="C909" s="21"/>
      <c r="G909" s="16"/>
    </row>
    <row r="910">
      <c r="C910" s="21"/>
      <c r="G910" s="16"/>
    </row>
    <row r="911">
      <c r="C911" s="21"/>
      <c r="G911" s="16"/>
    </row>
    <row r="912">
      <c r="C912" s="21"/>
      <c r="G912" s="16"/>
    </row>
    <row r="913">
      <c r="C913" s="21"/>
      <c r="G913" s="16"/>
    </row>
    <row r="914">
      <c r="C914" s="21"/>
      <c r="G914" s="16"/>
    </row>
    <row r="915">
      <c r="C915" s="21"/>
      <c r="G915" s="16"/>
    </row>
    <row r="916">
      <c r="C916" s="21"/>
      <c r="G916" s="16"/>
    </row>
    <row r="917">
      <c r="C917" s="21"/>
      <c r="G917" s="16"/>
    </row>
    <row r="918">
      <c r="C918" s="21"/>
      <c r="G918" s="16"/>
    </row>
    <row r="919">
      <c r="C919" s="21"/>
      <c r="G919" s="16"/>
    </row>
    <row r="920">
      <c r="C920" s="21"/>
      <c r="G920" s="16"/>
    </row>
    <row r="921">
      <c r="C921" s="21"/>
      <c r="G921" s="16"/>
    </row>
    <row r="922">
      <c r="C922" s="21"/>
      <c r="G922" s="16"/>
    </row>
    <row r="923">
      <c r="C923" s="21"/>
      <c r="G923" s="16"/>
    </row>
    <row r="924">
      <c r="C924" s="21"/>
      <c r="G924" s="16"/>
    </row>
    <row r="925">
      <c r="C925" s="21"/>
      <c r="G925" s="16"/>
    </row>
    <row r="926">
      <c r="C926" s="21"/>
      <c r="G926" s="16"/>
    </row>
    <row r="927">
      <c r="C927" s="21"/>
      <c r="G927" s="16"/>
    </row>
    <row r="928">
      <c r="C928" s="21"/>
      <c r="G928" s="16"/>
    </row>
    <row r="929">
      <c r="C929" s="21"/>
      <c r="G929" s="16"/>
    </row>
    <row r="930">
      <c r="C930" s="21"/>
      <c r="G930" s="16"/>
    </row>
    <row r="931">
      <c r="C931" s="21"/>
      <c r="G931" s="16"/>
    </row>
    <row r="932">
      <c r="C932" s="21"/>
      <c r="G932" s="16"/>
    </row>
    <row r="933">
      <c r="C933" s="21"/>
      <c r="G933" s="16"/>
    </row>
    <row r="934">
      <c r="C934" s="21"/>
      <c r="G934" s="16"/>
    </row>
    <row r="935">
      <c r="C935" s="21"/>
      <c r="G935" s="16"/>
    </row>
    <row r="936">
      <c r="C936" s="21"/>
      <c r="G936" s="16"/>
    </row>
    <row r="937">
      <c r="C937" s="21"/>
      <c r="G937" s="16"/>
    </row>
    <row r="938">
      <c r="C938" s="21"/>
      <c r="G938" s="16"/>
    </row>
    <row r="939">
      <c r="C939" s="21"/>
      <c r="G939" s="16"/>
    </row>
    <row r="940">
      <c r="C940" s="21"/>
      <c r="G940" s="16"/>
    </row>
    <row r="941">
      <c r="C941" s="21"/>
      <c r="G941" s="16"/>
    </row>
    <row r="942">
      <c r="C942" s="21"/>
      <c r="G942" s="16"/>
    </row>
    <row r="943">
      <c r="C943" s="21"/>
      <c r="G943" s="16"/>
    </row>
    <row r="944">
      <c r="C944" s="21"/>
      <c r="G944" s="16"/>
    </row>
    <row r="945">
      <c r="C945" s="21"/>
      <c r="G945" s="16"/>
    </row>
    <row r="946">
      <c r="C946" s="21"/>
      <c r="G946" s="16"/>
    </row>
    <row r="947">
      <c r="C947" s="21"/>
      <c r="G947" s="16"/>
    </row>
    <row r="948">
      <c r="C948" s="21"/>
      <c r="G948" s="16"/>
    </row>
    <row r="949">
      <c r="C949" s="21"/>
      <c r="G949" s="16"/>
    </row>
    <row r="950">
      <c r="C950" s="21"/>
      <c r="G950" s="16"/>
    </row>
    <row r="951">
      <c r="C951" s="21"/>
      <c r="G951" s="16"/>
    </row>
    <row r="952">
      <c r="C952" s="21"/>
      <c r="G952" s="16"/>
    </row>
    <row r="953">
      <c r="C953" s="21"/>
      <c r="G953" s="16"/>
    </row>
    <row r="954">
      <c r="C954" s="21"/>
      <c r="G954" s="16"/>
    </row>
    <row r="955">
      <c r="C955" s="21"/>
      <c r="G955" s="16"/>
    </row>
    <row r="956">
      <c r="C956" s="21"/>
      <c r="G956" s="16"/>
    </row>
    <row r="957">
      <c r="C957" s="21"/>
      <c r="G957" s="16"/>
    </row>
    <row r="958">
      <c r="C958" s="21"/>
      <c r="G958" s="16"/>
    </row>
    <row r="959">
      <c r="C959" s="21"/>
      <c r="G959" s="16"/>
    </row>
    <row r="960">
      <c r="C960" s="21"/>
      <c r="G960" s="16"/>
    </row>
    <row r="961">
      <c r="C961" s="21"/>
      <c r="G961" s="16"/>
    </row>
    <row r="962">
      <c r="C962" s="21"/>
      <c r="G962" s="16"/>
    </row>
    <row r="963">
      <c r="C963" s="21"/>
      <c r="G963" s="16"/>
    </row>
    <row r="964">
      <c r="C964" s="21"/>
      <c r="G964" s="16"/>
    </row>
    <row r="965">
      <c r="C965" s="21"/>
      <c r="G965" s="16"/>
    </row>
    <row r="966">
      <c r="C966" s="21"/>
      <c r="G966" s="16"/>
    </row>
    <row r="967">
      <c r="C967" s="21"/>
      <c r="G967" s="16"/>
    </row>
    <row r="968">
      <c r="C968" s="21"/>
      <c r="G968" s="16"/>
    </row>
    <row r="969">
      <c r="C969" s="21"/>
      <c r="G969" s="16"/>
    </row>
    <row r="970">
      <c r="C970" s="21"/>
      <c r="G970" s="16"/>
    </row>
    <row r="971">
      <c r="C971" s="21"/>
      <c r="G971" s="16"/>
    </row>
    <row r="972">
      <c r="C972" s="21"/>
      <c r="G972" s="16"/>
    </row>
    <row r="973">
      <c r="C973" s="21"/>
      <c r="G973" s="16"/>
    </row>
    <row r="974">
      <c r="C974" s="21"/>
      <c r="G974" s="16"/>
    </row>
    <row r="975">
      <c r="C975" s="21"/>
      <c r="G975" s="16"/>
    </row>
    <row r="976">
      <c r="C976" s="21"/>
      <c r="G976" s="16"/>
    </row>
    <row r="977">
      <c r="C977" s="21"/>
      <c r="G977" s="16"/>
    </row>
    <row r="978">
      <c r="C978" s="21"/>
      <c r="G978" s="16"/>
    </row>
    <row r="979">
      <c r="C979" s="21"/>
      <c r="G979" s="16"/>
    </row>
    <row r="980">
      <c r="C980" s="21"/>
      <c r="G980" s="16"/>
    </row>
    <row r="981">
      <c r="C981" s="21"/>
      <c r="G981" s="16"/>
    </row>
    <row r="982">
      <c r="C982" s="21"/>
      <c r="G982" s="16"/>
    </row>
    <row r="983">
      <c r="C983" s="21"/>
      <c r="G983" s="16"/>
    </row>
    <row r="984">
      <c r="C984" s="21"/>
      <c r="G984" s="16"/>
    </row>
    <row r="985">
      <c r="C985" s="21"/>
      <c r="G985" s="16"/>
    </row>
    <row r="986">
      <c r="C986" s="21"/>
      <c r="G986" s="16"/>
    </row>
    <row r="987">
      <c r="C987" s="21"/>
      <c r="G987" s="16"/>
    </row>
    <row r="988">
      <c r="C988" s="21"/>
      <c r="G988" s="16"/>
    </row>
    <row r="989">
      <c r="C989" s="21"/>
      <c r="G989" s="16"/>
    </row>
    <row r="990">
      <c r="C990" s="21"/>
      <c r="G990" s="16"/>
    </row>
    <row r="991">
      <c r="C991" s="21"/>
      <c r="G991" s="16"/>
    </row>
    <row r="992">
      <c r="C992" s="21"/>
      <c r="G992" s="16"/>
    </row>
    <row r="993">
      <c r="C993" s="21"/>
      <c r="G993" s="16"/>
    </row>
    <row r="994">
      <c r="C994" s="21"/>
      <c r="G994" s="16"/>
    </row>
    <row r="995">
      <c r="C995" s="21"/>
      <c r="G995" s="16"/>
    </row>
    <row r="996">
      <c r="C996" s="21"/>
      <c r="G996" s="16"/>
    </row>
    <row r="997">
      <c r="C997" s="21"/>
      <c r="G997" s="16"/>
    </row>
    <row r="998">
      <c r="C998" s="21"/>
      <c r="G998" s="16"/>
    </row>
    <row r="999">
      <c r="C999" s="21"/>
      <c r="G999" s="16"/>
    </row>
    <row r="1000">
      <c r="C1000" s="21"/>
      <c r="G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50.25"/>
    <col customWidth="1" min="3" max="3" width="21.38"/>
    <col customWidth="1" min="4" max="4" width="13.0"/>
    <col customWidth="1" min="5" max="5" width="6.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265</v>
      </c>
      <c r="C2" s="21">
        <v>0.0018402777777777777</v>
      </c>
      <c r="D2" s="17" t="s">
        <v>7</v>
      </c>
      <c r="G2" s="20" t="s">
        <v>14</v>
      </c>
    </row>
    <row r="3">
      <c r="A3" s="17">
        <v>2.0</v>
      </c>
      <c r="B3" s="17" t="s">
        <v>266</v>
      </c>
      <c r="C3" s="21">
        <v>0.0061574074074074074</v>
      </c>
      <c r="D3" s="17" t="s">
        <v>7</v>
      </c>
      <c r="G3" s="23">
        <f>SUM(C2:C1000)</f>
        <v>0.1071064815</v>
      </c>
    </row>
    <row r="4">
      <c r="A4" s="17">
        <v>3.0</v>
      </c>
      <c r="B4" s="17" t="s">
        <v>267</v>
      </c>
      <c r="C4" s="21">
        <v>0.0038425925925925928</v>
      </c>
      <c r="D4" s="17" t="s">
        <v>7</v>
      </c>
      <c r="G4" s="16"/>
    </row>
    <row r="5">
      <c r="A5" s="17">
        <v>4.0</v>
      </c>
      <c r="B5" s="17" t="s">
        <v>268</v>
      </c>
      <c r="C5" s="21">
        <v>0.004409722222222222</v>
      </c>
      <c r="D5" s="17" t="s">
        <v>7</v>
      </c>
      <c r="G5" s="19" t="s">
        <v>6</v>
      </c>
    </row>
    <row r="6">
      <c r="A6" s="17">
        <v>5.0</v>
      </c>
      <c r="B6" s="17" t="s">
        <v>269</v>
      </c>
      <c r="C6" s="21">
        <v>0.00431712962962963</v>
      </c>
      <c r="D6" s="17" t="s">
        <v>7</v>
      </c>
      <c r="G6" s="23">
        <f>SUMIF(D:D,G5,C:C)</f>
        <v>0</v>
      </c>
    </row>
    <row r="7">
      <c r="A7" s="17">
        <v>6.0</v>
      </c>
      <c r="B7" s="17" t="s">
        <v>270</v>
      </c>
      <c r="C7" s="21">
        <v>0.0016203703703703703</v>
      </c>
      <c r="D7" s="17" t="s">
        <v>7</v>
      </c>
      <c r="G7" s="16"/>
    </row>
    <row r="8">
      <c r="A8" s="17">
        <v>7.0</v>
      </c>
      <c r="B8" s="17" t="s">
        <v>271</v>
      </c>
      <c r="C8" s="21">
        <v>0.007268518518518519</v>
      </c>
      <c r="D8" s="17" t="s">
        <v>7</v>
      </c>
      <c r="G8" s="17" t="s">
        <v>7</v>
      </c>
    </row>
    <row r="9">
      <c r="A9" s="17">
        <v>8.0</v>
      </c>
      <c r="B9" s="17" t="s">
        <v>272</v>
      </c>
      <c r="C9" s="21">
        <v>0.006400462962962963</v>
      </c>
      <c r="D9" s="17" t="s">
        <v>7</v>
      </c>
      <c r="G9" s="23">
        <f>SUMIF(D:D,G8,C:C)</f>
        <v>0.1071064815</v>
      </c>
    </row>
    <row r="10">
      <c r="A10" s="17">
        <v>9.0</v>
      </c>
      <c r="B10" s="17" t="s">
        <v>273</v>
      </c>
      <c r="C10" s="21">
        <v>0.0035300925925925925</v>
      </c>
      <c r="D10" s="17" t="s">
        <v>7</v>
      </c>
      <c r="G10" s="16"/>
    </row>
    <row r="11">
      <c r="A11" s="17">
        <v>10.0</v>
      </c>
      <c r="B11" s="17" t="s">
        <v>274</v>
      </c>
      <c r="C11" s="21">
        <v>0.006840277777777778</v>
      </c>
      <c r="D11" s="17" t="s">
        <v>7</v>
      </c>
      <c r="G11" s="16"/>
    </row>
    <row r="12">
      <c r="A12" s="17">
        <v>11.0</v>
      </c>
      <c r="B12" s="17" t="s">
        <v>275</v>
      </c>
      <c r="C12" s="21">
        <v>0.0012152777777777778</v>
      </c>
      <c r="D12" s="17" t="s">
        <v>7</v>
      </c>
      <c r="G12" s="16"/>
    </row>
    <row r="13">
      <c r="A13" s="17">
        <v>12.0</v>
      </c>
      <c r="B13" s="17" t="s">
        <v>276</v>
      </c>
      <c r="C13" s="21">
        <v>0.0019444444444444444</v>
      </c>
      <c r="D13" s="17" t="s">
        <v>7</v>
      </c>
      <c r="G13" s="16"/>
    </row>
    <row r="14">
      <c r="A14" s="17">
        <v>13.0</v>
      </c>
      <c r="B14" s="17" t="s">
        <v>277</v>
      </c>
      <c r="C14" s="21">
        <v>0.003148148148148148</v>
      </c>
      <c r="D14" s="17" t="s">
        <v>7</v>
      </c>
      <c r="G14" s="16"/>
    </row>
    <row r="15">
      <c r="A15" s="17">
        <v>14.0</v>
      </c>
      <c r="B15" s="17" t="s">
        <v>278</v>
      </c>
      <c r="C15" s="21">
        <v>0.0028935185185185184</v>
      </c>
      <c r="D15" s="17" t="s">
        <v>7</v>
      </c>
      <c r="G15" s="16"/>
    </row>
    <row r="16">
      <c r="A16" s="17">
        <v>15.0</v>
      </c>
      <c r="B16" s="17" t="s">
        <v>279</v>
      </c>
      <c r="C16" s="21">
        <v>0.00375</v>
      </c>
      <c r="D16" s="17" t="s">
        <v>7</v>
      </c>
      <c r="G16" s="16"/>
    </row>
    <row r="17">
      <c r="A17" s="17">
        <v>16.0</v>
      </c>
      <c r="B17" s="17" t="s">
        <v>280</v>
      </c>
      <c r="C17" s="21">
        <v>0.0033796296296296296</v>
      </c>
      <c r="D17" s="17" t="s">
        <v>7</v>
      </c>
      <c r="G17" s="16"/>
    </row>
    <row r="18">
      <c r="A18" s="17">
        <v>17.0</v>
      </c>
      <c r="B18" s="17" t="s">
        <v>281</v>
      </c>
      <c r="C18" s="21">
        <v>0.007222222222222222</v>
      </c>
      <c r="D18" s="17" t="s">
        <v>7</v>
      </c>
      <c r="G18" s="16"/>
    </row>
    <row r="19">
      <c r="A19" s="17">
        <v>18.0</v>
      </c>
      <c r="B19" s="17" t="s">
        <v>282</v>
      </c>
      <c r="C19" s="21">
        <v>0.003599537037037037</v>
      </c>
      <c r="D19" s="17" t="s">
        <v>7</v>
      </c>
      <c r="G19" s="16"/>
    </row>
    <row r="20">
      <c r="A20" s="17">
        <v>19.0</v>
      </c>
      <c r="B20" s="17" t="s">
        <v>283</v>
      </c>
      <c r="C20" s="21">
        <v>0.007442129629629629</v>
      </c>
      <c r="D20" s="17" t="s">
        <v>7</v>
      </c>
      <c r="G20" s="16"/>
    </row>
    <row r="21" ht="15.75" customHeight="1">
      <c r="A21" s="17">
        <v>20.0</v>
      </c>
      <c r="B21" s="17" t="s">
        <v>284</v>
      </c>
      <c r="C21" s="21">
        <v>0.006145833333333333</v>
      </c>
      <c r="D21" s="17" t="s">
        <v>7</v>
      </c>
      <c r="G21" s="16"/>
    </row>
    <row r="22" ht="15.75" customHeight="1">
      <c r="A22" s="17">
        <v>21.0</v>
      </c>
      <c r="B22" s="17" t="s">
        <v>285</v>
      </c>
      <c r="C22" s="21">
        <v>0.0037847222222222223</v>
      </c>
      <c r="D22" s="17" t="s">
        <v>7</v>
      </c>
      <c r="G22" s="16"/>
    </row>
    <row r="23" ht="15.75" customHeight="1">
      <c r="A23" s="17">
        <v>22.0</v>
      </c>
      <c r="B23" s="17" t="s">
        <v>286</v>
      </c>
      <c r="C23" s="21">
        <v>0.008981481481481481</v>
      </c>
      <c r="D23" s="17" t="s">
        <v>7</v>
      </c>
      <c r="G23" s="16"/>
    </row>
    <row r="24" ht="15.75" customHeight="1">
      <c r="A24" s="17">
        <v>23.0</v>
      </c>
      <c r="B24" s="17" t="s">
        <v>287</v>
      </c>
      <c r="C24" s="21">
        <v>0.005</v>
      </c>
      <c r="D24" s="17" t="s">
        <v>7</v>
      </c>
      <c r="G24" s="16"/>
    </row>
    <row r="25" ht="15.75" customHeight="1">
      <c r="A25" s="17">
        <v>24.0</v>
      </c>
      <c r="B25" s="17" t="s">
        <v>288</v>
      </c>
      <c r="C25" s="21">
        <v>0.002372685185185185</v>
      </c>
      <c r="D25" s="17" t="s">
        <v>7</v>
      </c>
      <c r="G25" s="16"/>
    </row>
    <row r="26" ht="15.75" customHeight="1">
      <c r="C26" s="21"/>
      <c r="G26" s="16"/>
    </row>
    <row r="27" ht="15.75" customHeight="1">
      <c r="C27" s="21"/>
      <c r="G27" s="16"/>
    </row>
    <row r="28" ht="15.75" customHeight="1">
      <c r="C28" s="21"/>
      <c r="G28" s="16"/>
    </row>
    <row r="29" ht="15.75" customHeight="1">
      <c r="C29" s="21"/>
      <c r="G29" s="16"/>
    </row>
    <row r="30" ht="15.75" customHeight="1">
      <c r="C30" s="21"/>
      <c r="G30" s="16"/>
    </row>
    <row r="31" ht="15.75" customHeight="1">
      <c r="C31" s="21"/>
      <c r="G31" s="16"/>
    </row>
    <row r="32" ht="15.75" customHeight="1">
      <c r="C32" s="21"/>
      <c r="G32" s="16"/>
    </row>
    <row r="33" ht="15.75" customHeight="1">
      <c r="C33" s="21"/>
      <c r="G33" s="16"/>
    </row>
    <row r="34" ht="15.75" customHeight="1">
      <c r="C34" s="21"/>
      <c r="G34" s="16"/>
    </row>
    <row r="35" ht="15.75" customHeight="1">
      <c r="C35" s="21"/>
      <c r="G35" s="16"/>
    </row>
    <row r="36" ht="15.75" customHeight="1">
      <c r="C36" s="21"/>
      <c r="G36" s="16"/>
    </row>
    <row r="37" ht="15.75" customHeight="1">
      <c r="C37" s="21"/>
      <c r="G37" s="16"/>
    </row>
    <row r="38" ht="15.75" customHeight="1">
      <c r="C38" s="21"/>
      <c r="G38" s="16"/>
    </row>
    <row r="39" ht="15.75" customHeight="1">
      <c r="C39" s="21"/>
      <c r="G39" s="16"/>
    </row>
    <row r="40" ht="15.75" customHeight="1">
      <c r="C40" s="21"/>
      <c r="G40" s="16"/>
    </row>
    <row r="41" ht="15.75" customHeight="1">
      <c r="C41" s="21"/>
      <c r="G41" s="16"/>
    </row>
    <row r="42" ht="15.75" customHeight="1">
      <c r="C42" s="21"/>
      <c r="G42" s="16"/>
    </row>
    <row r="43" ht="15.75" customHeight="1">
      <c r="C43" s="21"/>
      <c r="G43" s="16"/>
    </row>
    <row r="44" ht="15.75" customHeight="1">
      <c r="C44" s="21"/>
      <c r="G44" s="16"/>
    </row>
    <row r="45" ht="15.75" customHeight="1">
      <c r="C45" s="21"/>
      <c r="G45" s="16"/>
    </row>
    <row r="46" ht="15.75" customHeight="1">
      <c r="C46" s="21"/>
      <c r="G46" s="16"/>
    </row>
    <row r="47" ht="15.75" customHeight="1">
      <c r="C47" s="21"/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58.25"/>
    <col customWidth="1" min="3" max="3" width="21.38"/>
    <col customWidth="1" min="4" max="4" width="13.0"/>
    <col customWidth="1" min="5" max="5" width="6.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9" t="s">
        <v>289</v>
      </c>
      <c r="C2" s="27">
        <v>0.08333333333333333</v>
      </c>
      <c r="D2" s="19" t="s">
        <v>6</v>
      </c>
      <c r="G2" s="20" t="s">
        <v>14</v>
      </c>
    </row>
    <row r="3">
      <c r="A3" s="17">
        <v>2.0</v>
      </c>
      <c r="B3" s="19" t="s">
        <v>290</v>
      </c>
      <c r="C3" s="27">
        <v>0.08333333333333333</v>
      </c>
      <c r="D3" s="17" t="s">
        <v>7</v>
      </c>
      <c r="G3" s="23">
        <f>SUM(C2:C1000)</f>
        <v>0.1666666667</v>
      </c>
    </row>
    <row r="4">
      <c r="C4" s="21"/>
      <c r="G4" s="16"/>
    </row>
    <row r="5">
      <c r="C5" s="21"/>
      <c r="G5" s="19" t="s">
        <v>6</v>
      </c>
    </row>
    <row r="6">
      <c r="C6" s="21"/>
      <c r="G6" s="23">
        <f>SUMIF(D:D,G5,C:C)</f>
        <v>0.08333333333</v>
      </c>
    </row>
    <row r="7">
      <c r="C7" s="21"/>
      <c r="G7" s="16"/>
    </row>
    <row r="8">
      <c r="C8" s="21"/>
      <c r="G8" s="17" t="s">
        <v>7</v>
      </c>
    </row>
    <row r="9">
      <c r="C9" s="21"/>
      <c r="G9" s="23">
        <f>SUMIF(D:D,G8,C:C)</f>
        <v>0.08333333333</v>
      </c>
    </row>
    <row r="10">
      <c r="C10" s="21"/>
      <c r="G10" s="16"/>
    </row>
    <row r="11">
      <c r="C11" s="21"/>
      <c r="G11" s="16"/>
    </row>
    <row r="12">
      <c r="C12" s="21"/>
      <c r="G12" s="16"/>
    </row>
    <row r="13">
      <c r="C13" s="21"/>
      <c r="G13" s="16"/>
    </row>
    <row r="14">
      <c r="C14" s="21"/>
      <c r="G14" s="16"/>
    </row>
    <row r="15">
      <c r="C15" s="21"/>
      <c r="G15" s="16"/>
    </row>
    <row r="16">
      <c r="C16" s="21"/>
      <c r="G16" s="16"/>
    </row>
    <row r="17">
      <c r="C17" s="21"/>
      <c r="G17" s="16"/>
    </row>
    <row r="18">
      <c r="C18" s="21"/>
      <c r="G18" s="16"/>
    </row>
    <row r="19">
      <c r="C19" s="21"/>
      <c r="G19" s="16"/>
    </row>
    <row r="20" ht="15.75" customHeight="1">
      <c r="C20" s="21"/>
      <c r="G20" s="16"/>
    </row>
    <row r="21" ht="15.75" customHeight="1">
      <c r="C21" s="21"/>
      <c r="G21" s="16"/>
    </row>
    <row r="22" ht="15.75" customHeight="1">
      <c r="C22" s="21"/>
      <c r="G22" s="16"/>
    </row>
    <row r="23" ht="15.75" customHeight="1">
      <c r="C23" s="21"/>
      <c r="G23" s="16"/>
    </row>
    <row r="24" ht="15.75" customHeight="1">
      <c r="C24" s="21"/>
      <c r="G24" s="16"/>
    </row>
    <row r="25" ht="15.75" customHeight="1">
      <c r="C25" s="21"/>
      <c r="G25" s="16"/>
    </row>
    <row r="26" ht="15.75" customHeight="1">
      <c r="C26" s="21"/>
      <c r="G26" s="16"/>
    </row>
    <row r="27" ht="15.75" customHeight="1">
      <c r="C27" s="21"/>
      <c r="G27" s="16"/>
    </row>
    <row r="28" ht="15.75" customHeight="1">
      <c r="C28" s="21"/>
      <c r="G28" s="16"/>
    </row>
    <row r="29" ht="15.75" customHeight="1">
      <c r="C29" s="21"/>
      <c r="G29" s="16"/>
    </row>
    <row r="30" ht="15.75" customHeight="1">
      <c r="C30" s="21"/>
      <c r="G30" s="16"/>
    </row>
    <row r="31" ht="15.75" customHeight="1">
      <c r="C31" s="21"/>
      <c r="G31" s="16"/>
    </row>
    <row r="32" ht="15.75" customHeight="1">
      <c r="C32" s="21"/>
      <c r="G32" s="16"/>
    </row>
    <row r="33" ht="15.75" customHeight="1">
      <c r="C33" s="21"/>
      <c r="G33" s="16"/>
    </row>
    <row r="34" ht="15.75" customHeight="1">
      <c r="C34" s="21"/>
      <c r="G34" s="16"/>
    </row>
    <row r="35" ht="15.75" customHeight="1">
      <c r="C35" s="21"/>
      <c r="G35" s="16"/>
    </row>
    <row r="36" ht="15.75" customHeight="1">
      <c r="C36" s="21"/>
      <c r="G36" s="16"/>
    </row>
    <row r="37" ht="15.75" customHeight="1">
      <c r="C37" s="21"/>
      <c r="G37" s="16"/>
    </row>
    <row r="38" ht="15.75" customHeight="1">
      <c r="C38" s="21"/>
      <c r="G38" s="16"/>
    </row>
    <row r="39" ht="15.75" customHeight="1">
      <c r="C39" s="21"/>
      <c r="G39" s="16"/>
    </row>
    <row r="40" ht="15.75" customHeight="1">
      <c r="C40" s="21"/>
      <c r="G40" s="16"/>
    </row>
    <row r="41" ht="15.75" customHeight="1">
      <c r="C41" s="21"/>
      <c r="G41" s="16"/>
    </row>
    <row r="42" ht="15.75" customHeight="1">
      <c r="C42" s="21"/>
      <c r="G42" s="16"/>
    </row>
    <row r="43" ht="15.75" customHeight="1">
      <c r="C43" s="21"/>
      <c r="G43" s="16"/>
    </row>
    <row r="44" ht="15.75" customHeight="1">
      <c r="C44" s="21"/>
      <c r="G44" s="16"/>
    </row>
    <row r="45" ht="15.75" customHeight="1">
      <c r="C45" s="21"/>
      <c r="G45" s="16"/>
    </row>
    <row r="46" ht="15.75" customHeight="1">
      <c r="C46" s="21"/>
      <c r="G46" s="16"/>
    </row>
    <row r="47" ht="15.75" customHeight="1">
      <c r="C47" s="21"/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>
      <c r="C1000" s="21"/>
      <c r="G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82.13"/>
    <col customWidth="1" min="3" max="3" width="21.38"/>
    <col customWidth="1" min="4" max="4" width="13.0"/>
    <col customWidth="1" min="5" max="5" width="6.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291</v>
      </c>
      <c r="C2" s="21">
        <v>0.006284722222222222</v>
      </c>
      <c r="D2" s="19" t="s">
        <v>6</v>
      </c>
      <c r="G2" s="20" t="s">
        <v>14</v>
      </c>
    </row>
    <row r="3">
      <c r="A3" s="17">
        <v>2.0</v>
      </c>
      <c r="B3" s="17" t="s">
        <v>292</v>
      </c>
      <c r="C3" s="21">
        <v>0.0024189814814814816</v>
      </c>
      <c r="D3" s="19" t="s">
        <v>6</v>
      </c>
      <c r="G3" s="23">
        <f>SUM(C2:C1000)</f>
        <v>2.455891204</v>
      </c>
    </row>
    <row r="4">
      <c r="A4" s="17">
        <v>3.0</v>
      </c>
      <c r="B4" s="17" t="s">
        <v>293</v>
      </c>
      <c r="C4" s="21">
        <v>0.002395833333333333</v>
      </c>
      <c r="D4" s="19" t="s">
        <v>6</v>
      </c>
      <c r="G4" s="16"/>
    </row>
    <row r="5">
      <c r="A5" s="17">
        <v>4.0</v>
      </c>
      <c r="B5" s="17" t="s">
        <v>294</v>
      </c>
      <c r="C5" s="21">
        <v>0.003981481481481482</v>
      </c>
      <c r="D5" s="19" t="s">
        <v>6</v>
      </c>
      <c r="G5" s="19" t="s">
        <v>6</v>
      </c>
    </row>
    <row r="6">
      <c r="A6" s="17">
        <v>5.0</v>
      </c>
      <c r="B6" s="17" t="s">
        <v>295</v>
      </c>
      <c r="C6" s="21">
        <v>0.0038194444444444443</v>
      </c>
      <c r="D6" s="19" t="s">
        <v>6</v>
      </c>
      <c r="G6" s="23">
        <f>SUMIF(D:D,G5,C:C)</f>
        <v>0.03469907407</v>
      </c>
    </row>
    <row r="7">
      <c r="A7" s="17">
        <v>6.0</v>
      </c>
      <c r="B7" s="17" t="s">
        <v>296</v>
      </c>
      <c r="C7" s="21">
        <v>0.0039004629629629628</v>
      </c>
      <c r="D7" s="19" t="s">
        <v>6</v>
      </c>
      <c r="G7" s="16"/>
    </row>
    <row r="8">
      <c r="A8" s="17">
        <v>7.0</v>
      </c>
      <c r="B8" s="17" t="s">
        <v>297</v>
      </c>
      <c r="C8" s="21">
        <v>0.004548611111111111</v>
      </c>
      <c r="D8" s="19" t="s">
        <v>6</v>
      </c>
      <c r="G8" s="17" t="s">
        <v>7</v>
      </c>
    </row>
    <row r="9">
      <c r="A9" s="17">
        <v>8.0</v>
      </c>
      <c r="B9" s="17" t="s">
        <v>298</v>
      </c>
      <c r="C9" s="21">
        <v>0.0</v>
      </c>
      <c r="D9" s="19" t="s">
        <v>6</v>
      </c>
      <c r="G9" s="23">
        <f>SUMIF(D:D,G8,C:C)</f>
        <v>2.42119213</v>
      </c>
    </row>
    <row r="10">
      <c r="A10" s="17">
        <v>9.0</v>
      </c>
      <c r="B10" s="17" t="s">
        <v>299</v>
      </c>
      <c r="C10" s="21">
        <v>0.007349537037037037</v>
      </c>
      <c r="D10" s="19" t="s">
        <v>6</v>
      </c>
      <c r="G10" s="16"/>
    </row>
    <row r="11">
      <c r="A11" s="17">
        <v>10.0</v>
      </c>
      <c r="B11" s="17" t="s">
        <v>300</v>
      </c>
      <c r="C11" s="21">
        <v>0.0</v>
      </c>
      <c r="D11" s="19" t="s">
        <v>6</v>
      </c>
      <c r="G11" s="16"/>
    </row>
    <row r="12">
      <c r="A12" s="17">
        <v>11.0</v>
      </c>
      <c r="B12" s="17" t="s">
        <v>301</v>
      </c>
      <c r="C12" s="21">
        <v>0.002627314814814815</v>
      </c>
      <c r="D12" s="17" t="s">
        <v>7</v>
      </c>
      <c r="G12" s="16"/>
    </row>
    <row r="13">
      <c r="A13" s="17">
        <v>12.0</v>
      </c>
      <c r="B13" s="17" t="s">
        <v>302</v>
      </c>
      <c r="C13" s="21">
        <v>0.006273148148148148</v>
      </c>
      <c r="D13" s="17" t="s">
        <v>7</v>
      </c>
      <c r="G13" s="16"/>
    </row>
    <row r="14">
      <c r="A14" s="17">
        <v>13.0</v>
      </c>
      <c r="B14" s="17" t="s">
        <v>303</v>
      </c>
      <c r="C14" s="21">
        <v>0.0038078703703703703</v>
      </c>
      <c r="D14" s="17" t="s">
        <v>7</v>
      </c>
      <c r="G14" s="16"/>
    </row>
    <row r="15">
      <c r="A15" s="17">
        <v>14.0</v>
      </c>
      <c r="B15" s="17" t="s">
        <v>304</v>
      </c>
      <c r="C15" s="21">
        <v>0.0061574074074074074</v>
      </c>
      <c r="D15" s="17" t="s">
        <v>7</v>
      </c>
      <c r="G15" s="16"/>
    </row>
    <row r="16">
      <c r="A16" s="17">
        <v>15.0</v>
      </c>
      <c r="B16" s="17" t="s">
        <v>305</v>
      </c>
      <c r="C16" s="21">
        <v>0.005659722222222222</v>
      </c>
      <c r="D16" s="17" t="s">
        <v>7</v>
      </c>
      <c r="G16" s="16"/>
    </row>
    <row r="17">
      <c r="A17" s="17">
        <v>16.0</v>
      </c>
      <c r="B17" s="17" t="s">
        <v>306</v>
      </c>
      <c r="C17" s="21">
        <v>0.003136574074074074</v>
      </c>
      <c r="D17" s="17" t="s">
        <v>7</v>
      </c>
      <c r="G17" s="16"/>
    </row>
    <row r="18">
      <c r="A18" s="17">
        <v>17.0</v>
      </c>
      <c r="B18" s="17" t="s">
        <v>307</v>
      </c>
      <c r="C18" s="21">
        <v>0.007465277777777778</v>
      </c>
      <c r="D18" s="17" t="s">
        <v>7</v>
      </c>
      <c r="G18" s="16"/>
    </row>
    <row r="19">
      <c r="A19" s="17">
        <v>18.0</v>
      </c>
      <c r="B19" s="17" t="s">
        <v>308</v>
      </c>
      <c r="C19" s="21">
        <v>0.001099537037037037</v>
      </c>
      <c r="D19" s="17" t="s">
        <v>7</v>
      </c>
      <c r="G19" s="16"/>
    </row>
    <row r="20">
      <c r="A20" s="17">
        <v>19.0</v>
      </c>
      <c r="B20" s="17" t="s">
        <v>309</v>
      </c>
      <c r="C20" s="21">
        <v>8.564814814814815E-4</v>
      </c>
      <c r="D20" s="17" t="s">
        <v>7</v>
      </c>
      <c r="G20" s="16"/>
    </row>
    <row r="21" ht="15.75" customHeight="1">
      <c r="A21" s="17">
        <v>20.0</v>
      </c>
      <c r="B21" s="17" t="s">
        <v>310</v>
      </c>
      <c r="C21" s="21">
        <v>0.006759259259259259</v>
      </c>
      <c r="D21" s="17" t="s">
        <v>7</v>
      </c>
      <c r="G21" s="16"/>
    </row>
    <row r="22" ht="15.75" customHeight="1">
      <c r="A22" s="17">
        <v>21.0</v>
      </c>
      <c r="B22" s="17" t="s">
        <v>311</v>
      </c>
      <c r="C22" s="21">
        <v>0.004629629629629629</v>
      </c>
      <c r="D22" s="17" t="s">
        <v>7</v>
      </c>
      <c r="G22" s="16"/>
    </row>
    <row r="23" ht="15.75" customHeight="1">
      <c r="A23" s="17">
        <v>22.0</v>
      </c>
      <c r="B23" s="17" t="s">
        <v>312</v>
      </c>
      <c r="C23" s="21">
        <v>0.0076851851851851855</v>
      </c>
      <c r="D23" s="17" t="s">
        <v>7</v>
      </c>
      <c r="G23" s="16"/>
    </row>
    <row r="24" ht="15.75" customHeight="1">
      <c r="A24" s="17">
        <v>23.0</v>
      </c>
      <c r="B24" s="17" t="s">
        <v>313</v>
      </c>
      <c r="C24" s="21">
        <v>0.0043518518518518515</v>
      </c>
      <c r="D24" s="17" t="s">
        <v>7</v>
      </c>
      <c r="G24" s="16"/>
    </row>
    <row r="25" ht="15.75" customHeight="1">
      <c r="A25" s="17">
        <v>24.0</v>
      </c>
      <c r="B25" s="17" t="s">
        <v>314</v>
      </c>
      <c r="C25" s="21">
        <v>0.010277777777777778</v>
      </c>
      <c r="D25" s="17" t="s">
        <v>7</v>
      </c>
      <c r="G25" s="16"/>
    </row>
    <row r="26" ht="15.75" customHeight="1">
      <c r="A26" s="17">
        <v>25.0</v>
      </c>
      <c r="B26" s="17" t="s">
        <v>315</v>
      </c>
      <c r="C26" s="21">
        <v>0.11037037037037037</v>
      </c>
      <c r="D26" s="17" t="s">
        <v>7</v>
      </c>
      <c r="G26" s="16"/>
    </row>
    <row r="27" ht="15.75" customHeight="1">
      <c r="A27" s="17">
        <v>26.0</v>
      </c>
      <c r="B27" s="17" t="s">
        <v>316</v>
      </c>
      <c r="C27" s="21">
        <v>0.11642361111111112</v>
      </c>
      <c r="D27" s="17" t="s">
        <v>7</v>
      </c>
      <c r="G27" s="16"/>
    </row>
    <row r="28" ht="15.75" customHeight="1">
      <c r="A28" s="17">
        <v>27.0</v>
      </c>
      <c r="B28" s="17" t="s">
        <v>317</v>
      </c>
      <c r="C28" s="21">
        <v>0.12246527777777778</v>
      </c>
      <c r="D28" s="17" t="s">
        <v>7</v>
      </c>
      <c r="G28" s="16"/>
    </row>
    <row r="29" ht="15.75" customHeight="1">
      <c r="A29" s="17">
        <v>28.0</v>
      </c>
      <c r="B29" s="17" t="s">
        <v>318</v>
      </c>
      <c r="C29" s="21">
        <v>0.1542361111111111</v>
      </c>
      <c r="D29" s="17" t="s">
        <v>7</v>
      </c>
      <c r="G29" s="16"/>
    </row>
    <row r="30" ht="15.75" customHeight="1">
      <c r="A30" s="17">
        <v>29.0</v>
      </c>
      <c r="B30" s="17" t="s">
        <v>319</v>
      </c>
      <c r="C30" s="21">
        <v>0.11486111111111111</v>
      </c>
      <c r="D30" s="17" t="s">
        <v>7</v>
      </c>
      <c r="G30" s="16"/>
    </row>
    <row r="31" ht="15.75" customHeight="1">
      <c r="A31" s="17">
        <v>30.0</v>
      </c>
      <c r="B31" s="17" t="s">
        <v>320</v>
      </c>
      <c r="C31" s="21">
        <v>0.13440972222222222</v>
      </c>
      <c r="D31" s="17" t="s">
        <v>7</v>
      </c>
      <c r="G31" s="16"/>
    </row>
    <row r="32" ht="15.75" customHeight="1">
      <c r="A32" s="17">
        <v>31.0</v>
      </c>
      <c r="B32" s="17" t="s">
        <v>321</v>
      </c>
      <c r="C32" s="21">
        <v>0.13793981481481482</v>
      </c>
      <c r="D32" s="17" t="s">
        <v>7</v>
      </c>
      <c r="G32" s="16"/>
    </row>
    <row r="33" ht="15.75" customHeight="1">
      <c r="A33" s="17">
        <v>32.0</v>
      </c>
      <c r="B33" s="17" t="s">
        <v>322</v>
      </c>
      <c r="C33" s="21">
        <v>0.1475115740740741</v>
      </c>
      <c r="D33" s="17" t="s">
        <v>7</v>
      </c>
      <c r="G33" s="16"/>
    </row>
    <row r="34" ht="15.75" customHeight="1">
      <c r="A34" s="17">
        <v>33.0</v>
      </c>
      <c r="B34" s="17" t="s">
        <v>323</v>
      </c>
      <c r="C34" s="21">
        <v>0.15319444444444444</v>
      </c>
      <c r="D34" s="17" t="s">
        <v>7</v>
      </c>
      <c r="G34" s="16"/>
    </row>
    <row r="35" ht="15.75" customHeight="1">
      <c r="A35" s="17">
        <v>34.0</v>
      </c>
      <c r="B35" s="17" t="s">
        <v>324</v>
      </c>
      <c r="C35" s="21">
        <v>0.12878472222222223</v>
      </c>
      <c r="D35" s="17" t="s">
        <v>7</v>
      </c>
      <c r="G35" s="16"/>
    </row>
    <row r="36" ht="15.75" customHeight="1">
      <c r="A36" s="17">
        <v>35.0</v>
      </c>
      <c r="B36" s="17" t="s">
        <v>325</v>
      </c>
      <c r="C36" s="21">
        <v>0.14299768518518519</v>
      </c>
      <c r="D36" s="17" t="s">
        <v>7</v>
      </c>
      <c r="G36" s="16"/>
    </row>
    <row r="37" ht="15.75" customHeight="1">
      <c r="A37" s="17">
        <v>36.0</v>
      </c>
      <c r="B37" s="17" t="s">
        <v>326</v>
      </c>
      <c r="C37" s="21">
        <v>0.14298611111111112</v>
      </c>
      <c r="D37" s="17" t="s">
        <v>7</v>
      </c>
      <c r="G37" s="16"/>
    </row>
    <row r="38" ht="15.75" customHeight="1">
      <c r="A38" s="17">
        <v>37.0</v>
      </c>
      <c r="B38" s="17" t="s">
        <v>327</v>
      </c>
      <c r="C38" s="21">
        <v>0.1354050925925926</v>
      </c>
      <c r="D38" s="17" t="s">
        <v>7</v>
      </c>
      <c r="G38" s="16"/>
    </row>
    <row r="39" ht="15.75" customHeight="1">
      <c r="A39" s="17">
        <v>38.0</v>
      </c>
      <c r="B39" s="17" t="s">
        <v>328</v>
      </c>
      <c r="C39" s="21">
        <v>0.1421875</v>
      </c>
      <c r="D39" s="17" t="s">
        <v>7</v>
      </c>
      <c r="G39" s="16"/>
    </row>
    <row r="40" ht="15.75" customHeight="1">
      <c r="A40" s="17">
        <v>39.0</v>
      </c>
      <c r="B40" s="17" t="s">
        <v>329</v>
      </c>
      <c r="C40" s="21">
        <v>0.10592592592592592</v>
      </c>
      <c r="D40" s="17" t="s">
        <v>7</v>
      </c>
      <c r="G40" s="16"/>
    </row>
    <row r="41" ht="15.75" customHeight="1">
      <c r="A41" s="17">
        <v>40.0</v>
      </c>
      <c r="B41" s="17" t="s">
        <v>330</v>
      </c>
      <c r="C41" s="21">
        <v>0.14039351851851853</v>
      </c>
      <c r="D41" s="17" t="s">
        <v>7</v>
      </c>
      <c r="G41" s="16"/>
    </row>
    <row r="42" ht="15.75" customHeight="1">
      <c r="A42" s="17">
        <v>41.0</v>
      </c>
      <c r="B42" s="17" t="s">
        <v>331</v>
      </c>
      <c r="C42" s="21">
        <v>0.09834490740740741</v>
      </c>
      <c r="D42" s="17" t="s">
        <v>7</v>
      </c>
      <c r="G42" s="16"/>
    </row>
    <row r="43" ht="15.75" customHeight="1">
      <c r="A43" s="17">
        <v>42.0</v>
      </c>
      <c r="B43" s="17" t="s">
        <v>332</v>
      </c>
      <c r="C43" s="21">
        <v>0.12196759259259259</v>
      </c>
      <c r="D43" s="17" t="s">
        <v>7</v>
      </c>
      <c r="G43" s="16"/>
    </row>
    <row r="44" ht="15.75" customHeight="1">
      <c r="C44" s="21"/>
      <c r="G44" s="16"/>
    </row>
    <row r="45" ht="15.75" customHeight="1">
      <c r="C45" s="21"/>
      <c r="G45" s="16"/>
    </row>
    <row r="46" ht="15.75" customHeight="1">
      <c r="C46" s="21"/>
      <c r="G46" s="16"/>
    </row>
    <row r="47" ht="15.75" customHeight="1">
      <c r="C47" s="21"/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74.5"/>
    <col customWidth="1" min="3" max="3" width="21.38"/>
    <col customWidth="1" min="4" max="4" width="13.0"/>
    <col customWidth="1" min="5" max="5" width="6.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333</v>
      </c>
      <c r="C2" s="21">
        <v>0.0</v>
      </c>
      <c r="D2" s="19" t="s">
        <v>6</v>
      </c>
      <c r="G2" s="20" t="s">
        <v>14</v>
      </c>
    </row>
    <row r="3">
      <c r="A3" s="17">
        <v>2.0</v>
      </c>
      <c r="B3" s="17" t="s">
        <v>334</v>
      </c>
      <c r="C3" s="21">
        <v>0.10502314814814814</v>
      </c>
      <c r="D3" s="19" t="s">
        <v>6</v>
      </c>
      <c r="G3" s="23">
        <f>SUM(C2:C1000)</f>
        <v>1.406226852</v>
      </c>
    </row>
    <row r="4">
      <c r="A4" s="17">
        <v>3.0</v>
      </c>
      <c r="B4" s="17" t="s">
        <v>335</v>
      </c>
      <c r="C4" s="18">
        <v>0.0</v>
      </c>
      <c r="D4" s="19" t="s">
        <v>6</v>
      </c>
      <c r="G4" s="16"/>
    </row>
    <row r="5">
      <c r="A5" s="17">
        <v>4.0</v>
      </c>
      <c r="B5" s="17" t="s">
        <v>336</v>
      </c>
      <c r="C5" s="21">
        <v>0.09909722222222223</v>
      </c>
      <c r="D5" s="19" t="s">
        <v>6</v>
      </c>
      <c r="G5" s="19" t="s">
        <v>6</v>
      </c>
    </row>
    <row r="6">
      <c r="A6" s="17">
        <v>5.0</v>
      </c>
      <c r="B6" s="17" t="s">
        <v>337</v>
      </c>
      <c r="C6" s="18">
        <v>0.0</v>
      </c>
      <c r="D6" s="19" t="s">
        <v>6</v>
      </c>
      <c r="G6" s="23">
        <f>SUMIF(D:D,G5,C:C)</f>
        <v>0.2784953704</v>
      </c>
    </row>
    <row r="7">
      <c r="A7" s="17">
        <v>6.0</v>
      </c>
      <c r="B7" s="17" t="s">
        <v>338</v>
      </c>
      <c r="C7" s="21">
        <v>0.074375</v>
      </c>
      <c r="D7" s="19" t="s">
        <v>6</v>
      </c>
      <c r="G7" s="16"/>
    </row>
    <row r="8">
      <c r="A8" s="17">
        <v>7.0</v>
      </c>
      <c r="B8" s="17" t="s">
        <v>339</v>
      </c>
      <c r="C8" s="18">
        <v>0.0</v>
      </c>
      <c r="D8" s="19" t="s">
        <v>6</v>
      </c>
      <c r="G8" s="17" t="s">
        <v>7</v>
      </c>
    </row>
    <row r="9">
      <c r="A9" s="17">
        <v>8.0</v>
      </c>
      <c r="B9" s="17" t="s">
        <v>340</v>
      </c>
      <c r="C9" s="21">
        <v>0.053287037037037036</v>
      </c>
      <c r="D9" s="17" t="s">
        <v>7</v>
      </c>
      <c r="G9" s="23">
        <f>SUMIF(D:D,G8,C:C)</f>
        <v>1.127731481</v>
      </c>
    </row>
    <row r="10">
      <c r="A10" s="17">
        <v>9.0</v>
      </c>
      <c r="B10" s="17" t="s">
        <v>341</v>
      </c>
      <c r="C10" s="21">
        <v>0.0</v>
      </c>
      <c r="D10" s="17" t="s">
        <v>7</v>
      </c>
      <c r="G10" s="16"/>
    </row>
    <row r="11">
      <c r="A11" s="17">
        <v>10.0</v>
      </c>
      <c r="B11" s="17" t="s">
        <v>342</v>
      </c>
      <c r="C11" s="21">
        <v>0.0</v>
      </c>
      <c r="D11" s="17" t="s">
        <v>7</v>
      </c>
      <c r="G11" s="16"/>
    </row>
    <row r="12">
      <c r="A12" s="17">
        <v>11.0</v>
      </c>
      <c r="B12" s="17" t="s">
        <v>343</v>
      </c>
      <c r="C12" s="21">
        <v>0.08467592592592593</v>
      </c>
      <c r="D12" s="17" t="s">
        <v>7</v>
      </c>
      <c r="G12" s="16"/>
    </row>
    <row r="13">
      <c r="A13" s="17">
        <v>12.0</v>
      </c>
      <c r="B13" s="17" t="s">
        <v>344</v>
      </c>
      <c r="C13" s="18">
        <v>0.0</v>
      </c>
      <c r="D13" s="17" t="s">
        <v>7</v>
      </c>
      <c r="G13" s="16"/>
    </row>
    <row r="14">
      <c r="A14" s="17">
        <v>13.0</v>
      </c>
      <c r="B14" s="17" t="s">
        <v>345</v>
      </c>
      <c r="C14" s="21">
        <v>0.1028125</v>
      </c>
      <c r="D14" s="17" t="s">
        <v>7</v>
      </c>
      <c r="G14" s="16"/>
    </row>
    <row r="15">
      <c r="A15" s="17">
        <v>14.0</v>
      </c>
      <c r="B15" s="17" t="s">
        <v>346</v>
      </c>
      <c r="C15" s="21">
        <v>0.07320601851851852</v>
      </c>
      <c r="D15" s="17" t="s">
        <v>7</v>
      </c>
      <c r="G15" s="16"/>
    </row>
    <row r="16">
      <c r="A16" s="17">
        <v>15.0</v>
      </c>
      <c r="B16" s="17" t="s">
        <v>347</v>
      </c>
      <c r="C16" s="21">
        <v>0.06559027777777778</v>
      </c>
      <c r="D16" s="17" t="s">
        <v>7</v>
      </c>
      <c r="G16" s="16"/>
    </row>
    <row r="17">
      <c r="A17" s="17">
        <v>16.0</v>
      </c>
      <c r="B17" s="17" t="s">
        <v>348</v>
      </c>
      <c r="C17" s="21">
        <v>0.07525462962962963</v>
      </c>
      <c r="D17" s="17" t="s">
        <v>7</v>
      </c>
      <c r="G17" s="16"/>
    </row>
    <row r="18">
      <c r="A18" s="17">
        <v>17.0</v>
      </c>
      <c r="B18" s="17" t="s">
        <v>349</v>
      </c>
      <c r="C18" s="21">
        <v>0.0654050925925926</v>
      </c>
      <c r="D18" s="17" t="s">
        <v>7</v>
      </c>
      <c r="G18" s="16"/>
    </row>
    <row r="19">
      <c r="A19" s="17">
        <v>18.0</v>
      </c>
      <c r="B19" s="17" t="s">
        <v>350</v>
      </c>
      <c r="C19" s="21">
        <v>0.07339120370370371</v>
      </c>
      <c r="D19" s="17" t="s">
        <v>7</v>
      </c>
      <c r="G19" s="16"/>
    </row>
    <row r="20">
      <c r="A20" s="17">
        <v>19.0</v>
      </c>
      <c r="B20" s="17" t="s">
        <v>351</v>
      </c>
      <c r="C20" s="21">
        <v>0.07599537037037037</v>
      </c>
      <c r="D20" s="17" t="s">
        <v>7</v>
      </c>
      <c r="G20" s="16"/>
    </row>
    <row r="21" ht="15.75" customHeight="1">
      <c r="A21" s="17">
        <v>20.0</v>
      </c>
      <c r="B21" s="17" t="s">
        <v>352</v>
      </c>
      <c r="C21" s="21">
        <v>0.06490740740740741</v>
      </c>
      <c r="D21" s="17" t="s">
        <v>7</v>
      </c>
      <c r="G21" s="16"/>
    </row>
    <row r="22" ht="15.75" customHeight="1">
      <c r="A22" s="17">
        <v>21.0</v>
      </c>
      <c r="B22" s="17" t="s">
        <v>353</v>
      </c>
      <c r="C22" s="21">
        <v>0.07055555555555555</v>
      </c>
      <c r="D22" s="17" t="s">
        <v>7</v>
      </c>
      <c r="G22" s="16"/>
    </row>
    <row r="23" ht="15.75" customHeight="1">
      <c r="A23" s="17">
        <v>22.0</v>
      </c>
      <c r="B23" s="17" t="s">
        <v>354</v>
      </c>
      <c r="C23" s="21">
        <v>0.07908564814814815</v>
      </c>
      <c r="D23" s="17" t="s">
        <v>7</v>
      </c>
      <c r="G23" s="16"/>
    </row>
    <row r="24" ht="15.75" customHeight="1">
      <c r="A24" s="17">
        <v>23.0</v>
      </c>
      <c r="B24" s="17" t="s">
        <v>355</v>
      </c>
      <c r="C24" s="21">
        <v>0.07851851851851852</v>
      </c>
      <c r="D24" s="17" t="s">
        <v>7</v>
      </c>
      <c r="G24" s="16"/>
    </row>
    <row r="25" ht="15.75" customHeight="1">
      <c r="A25" s="17">
        <v>24.0</v>
      </c>
      <c r="B25" s="17" t="s">
        <v>356</v>
      </c>
      <c r="C25" s="21">
        <v>0.0889236111111111</v>
      </c>
      <c r="D25" s="17" t="s">
        <v>7</v>
      </c>
      <c r="G25" s="16"/>
    </row>
    <row r="26" ht="15.75" customHeight="1">
      <c r="A26" s="17">
        <v>25.0</v>
      </c>
      <c r="B26" s="17" t="s">
        <v>357</v>
      </c>
      <c r="C26" s="18">
        <v>0.0</v>
      </c>
      <c r="D26" s="17" t="s">
        <v>7</v>
      </c>
      <c r="G26" s="16"/>
    </row>
    <row r="27" ht="15.75" customHeight="1">
      <c r="A27" s="17">
        <v>26.0</v>
      </c>
      <c r="B27" s="17" t="s">
        <v>358</v>
      </c>
      <c r="C27" s="21">
        <v>0.07612268518518518</v>
      </c>
      <c r="D27" s="17" t="s">
        <v>7</v>
      </c>
      <c r="G27" s="16"/>
    </row>
    <row r="28" ht="15.75" customHeight="1">
      <c r="C28" s="21"/>
      <c r="G28" s="16"/>
    </row>
    <row r="29" ht="15.75" customHeight="1">
      <c r="C29" s="21"/>
      <c r="G29" s="16"/>
    </row>
    <row r="30" ht="15.75" customHeight="1">
      <c r="C30" s="21"/>
      <c r="G30" s="16"/>
    </row>
    <row r="31" ht="15.75" customHeight="1">
      <c r="C31" s="21"/>
      <c r="G31" s="16"/>
    </row>
    <row r="32" ht="15.75" customHeight="1">
      <c r="C32" s="21"/>
      <c r="G32" s="16"/>
    </row>
    <row r="33" ht="15.75" customHeight="1">
      <c r="C33" s="21"/>
      <c r="G33" s="16"/>
    </row>
    <row r="34" ht="15.75" customHeight="1">
      <c r="C34" s="21"/>
      <c r="G34" s="16"/>
    </row>
    <row r="35" ht="15.75" customHeight="1">
      <c r="C35" s="21"/>
      <c r="G35" s="16"/>
    </row>
    <row r="36" ht="15.75" customHeight="1">
      <c r="C36" s="21"/>
      <c r="G36" s="16"/>
    </row>
    <row r="37" ht="15.75" customHeight="1">
      <c r="C37" s="21"/>
      <c r="G37" s="16"/>
    </row>
    <row r="38" ht="15.75" customHeight="1">
      <c r="C38" s="21"/>
      <c r="G38" s="16"/>
    </row>
    <row r="39" ht="15.75" customHeight="1">
      <c r="C39" s="21"/>
      <c r="G39" s="16"/>
    </row>
    <row r="40" ht="15.75" customHeight="1">
      <c r="C40" s="21"/>
      <c r="G40" s="16"/>
    </row>
    <row r="41" ht="15.75" customHeight="1">
      <c r="C41" s="21"/>
      <c r="G41" s="16"/>
    </row>
    <row r="42" ht="15.75" customHeight="1">
      <c r="C42" s="21"/>
      <c r="G42" s="16"/>
    </row>
    <row r="43" ht="15.75" customHeight="1">
      <c r="C43" s="21"/>
      <c r="G43" s="16"/>
    </row>
    <row r="44" ht="15.75" customHeight="1">
      <c r="C44" s="21"/>
      <c r="G44" s="16"/>
    </row>
    <row r="45" ht="15.75" customHeight="1">
      <c r="C45" s="21"/>
      <c r="G45" s="16"/>
    </row>
    <row r="46" ht="15.75" customHeight="1">
      <c r="C46" s="21"/>
      <c r="G46" s="16"/>
    </row>
    <row r="47" ht="15.75" customHeight="1">
      <c r="C47" s="21"/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52.5"/>
    <col customWidth="1" min="3" max="3" width="17.5"/>
    <col customWidth="1" min="4" max="4" width="15.75"/>
    <col customWidth="1" min="5" max="5" width="26.25"/>
    <col customWidth="1" min="6" max="6" width="7.63"/>
    <col customWidth="1" min="7" max="7" width="13.0"/>
    <col customWidth="1" min="8" max="26" width="7.63"/>
  </cols>
  <sheetData>
    <row r="1">
      <c r="A1" s="14" t="s">
        <v>8</v>
      </c>
      <c r="B1" s="14" t="s">
        <v>9</v>
      </c>
      <c r="C1" s="15" t="s">
        <v>10</v>
      </c>
      <c r="D1" s="14" t="s">
        <v>11</v>
      </c>
      <c r="E1" s="14" t="s">
        <v>12</v>
      </c>
      <c r="G1" s="16"/>
    </row>
    <row r="2">
      <c r="A2" s="17">
        <v>1.0</v>
      </c>
      <c r="B2" s="17" t="s">
        <v>359</v>
      </c>
      <c r="C2" s="21">
        <v>0.001388888888888889</v>
      </c>
      <c r="D2" s="17" t="s">
        <v>7</v>
      </c>
      <c r="G2" s="20" t="s">
        <v>14</v>
      </c>
    </row>
    <row r="3">
      <c r="A3" s="17">
        <v>2.0</v>
      </c>
      <c r="B3" s="17" t="s">
        <v>360</v>
      </c>
      <c r="C3" s="18">
        <v>0.0</v>
      </c>
      <c r="D3" s="17" t="s">
        <v>7</v>
      </c>
      <c r="G3" s="23">
        <f>SUM(C2:C1000)</f>
        <v>0.09305555556</v>
      </c>
    </row>
    <row r="4">
      <c r="A4" s="17">
        <v>3.0</v>
      </c>
      <c r="B4" s="17" t="s">
        <v>361</v>
      </c>
      <c r="C4" s="21">
        <v>0.007638888888888889</v>
      </c>
      <c r="D4" s="17" t="s">
        <v>7</v>
      </c>
      <c r="G4" s="16"/>
    </row>
    <row r="5">
      <c r="A5" s="17">
        <v>4.0</v>
      </c>
      <c r="B5" s="17" t="s">
        <v>362</v>
      </c>
      <c r="C5" s="21">
        <v>0.005555555555555556</v>
      </c>
      <c r="D5" s="17" t="s">
        <v>7</v>
      </c>
      <c r="G5" s="19" t="s">
        <v>6</v>
      </c>
    </row>
    <row r="6">
      <c r="A6" s="17">
        <v>5.0</v>
      </c>
      <c r="B6" s="17" t="s">
        <v>363</v>
      </c>
      <c r="C6" s="21">
        <v>0.004861111111111111</v>
      </c>
      <c r="D6" s="17" t="s">
        <v>7</v>
      </c>
      <c r="G6" s="23">
        <f>SUMIF(D:D,G5,C:C)</f>
        <v>0</v>
      </c>
    </row>
    <row r="7">
      <c r="A7" s="17">
        <v>6.0</v>
      </c>
      <c r="B7" s="17" t="s">
        <v>364</v>
      </c>
      <c r="C7" s="21">
        <v>0.0125</v>
      </c>
      <c r="D7" s="17" t="s">
        <v>7</v>
      </c>
      <c r="G7" s="16"/>
    </row>
    <row r="8">
      <c r="A8" s="17">
        <v>7.0</v>
      </c>
      <c r="B8" s="17" t="s">
        <v>365</v>
      </c>
      <c r="C8" s="21">
        <v>0.011111111111111112</v>
      </c>
      <c r="D8" s="17" t="s">
        <v>7</v>
      </c>
      <c r="G8" s="17" t="s">
        <v>7</v>
      </c>
    </row>
    <row r="9">
      <c r="A9" s="17">
        <v>8.0</v>
      </c>
      <c r="B9" s="17" t="s">
        <v>366</v>
      </c>
      <c r="C9" s="21">
        <v>0.011805555555555555</v>
      </c>
      <c r="D9" s="17" t="s">
        <v>7</v>
      </c>
      <c r="G9" s="23">
        <f>SUMIF(D:D,G8,C:C)</f>
        <v>0.09305555556</v>
      </c>
    </row>
    <row r="10">
      <c r="A10" s="17">
        <v>9.0</v>
      </c>
      <c r="B10" s="17" t="s">
        <v>367</v>
      </c>
      <c r="C10" s="21">
        <v>0.016666666666666666</v>
      </c>
      <c r="D10" s="17" t="s">
        <v>7</v>
      </c>
      <c r="G10" s="16"/>
    </row>
    <row r="11">
      <c r="A11" s="17">
        <v>10.0</v>
      </c>
      <c r="B11" s="17" t="s">
        <v>368</v>
      </c>
      <c r="C11" s="21">
        <v>0.013888888888888888</v>
      </c>
      <c r="D11" s="17" t="s">
        <v>7</v>
      </c>
      <c r="G11" s="16"/>
    </row>
    <row r="12">
      <c r="A12" s="17">
        <v>11.0</v>
      </c>
      <c r="B12" s="17" t="s">
        <v>369</v>
      </c>
      <c r="C12" s="21">
        <v>6.944444444444445E-4</v>
      </c>
      <c r="D12" s="17" t="s">
        <v>7</v>
      </c>
      <c r="G12" s="16"/>
    </row>
    <row r="13">
      <c r="A13" s="17">
        <v>12.0</v>
      </c>
      <c r="B13" s="17" t="s">
        <v>370</v>
      </c>
      <c r="C13" s="21">
        <v>0.006944444444444444</v>
      </c>
      <c r="D13" s="17" t="s">
        <v>7</v>
      </c>
      <c r="G13" s="16"/>
    </row>
    <row r="14">
      <c r="C14" s="21"/>
      <c r="G14" s="16"/>
    </row>
    <row r="15">
      <c r="C15" s="21"/>
      <c r="G15" s="16"/>
    </row>
    <row r="16">
      <c r="C16" s="21"/>
      <c r="G16" s="16"/>
    </row>
    <row r="17">
      <c r="C17" s="21"/>
      <c r="G17" s="16"/>
    </row>
    <row r="18">
      <c r="C18" s="21"/>
      <c r="G18" s="16"/>
    </row>
    <row r="19">
      <c r="C19" s="21"/>
      <c r="G19" s="16"/>
    </row>
    <row r="20">
      <c r="C20" s="21"/>
      <c r="G20" s="16"/>
    </row>
    <row r="21" ht="15.75" customHeight="1">
      <c r="C21" s="21"/>
      <c r="G21" s="16"/>
    </row>
    <row r="22" ht="15.75" customHeight="1">
      <c r="C22" s="21"/>
      <c r="G22" s="16"/>
    </row>
    <row r="23" ht="15.75" customHeight="1">
      <c r="C23" s="21"/>
      <c r="G23" s="16"/>
    </row>
    <row r="24" ht="15.75" customHeight="1">
      <c r="C24" s="21"/>
      <c r="G24" s="16"/>
    </row>
    <row r="25" ht="15.75" customHeight="1">
      <c r="C25" s="21"/>
      <c r="G25" s="16"/>
    </row>
    <row r="26" ht="15.75" customHeight="1">
      <c r="C26" s="21"/>
      <c r="G26" s="16"/>
    </row>
    <row r="27" ht="15.75" customHeight="1">
      <c r="C27" s="21"/>
      <c r="G27" s="16"/>
    </row>
    <row r="28" ht="15.75" customHeight="1">
      <c r="C28" s="21"/>
      <c r="G28" s="16"/>
    </row>
    <row r="29" ht="15.75" customHeight="1">
      <c r="C29" s="21"/>
      <c r="G29" s="16"/>
    </row>
    <row r="30" ht="15.75" customHeight="1">
      <c r="C30" s="21"/>
      <c r="G30" s="16"/>
    </row>
    <row r="31" ht="15.75" customHeight="1">
      <c r="C31" s="21"/>
      <c r="G31" s="16"/>
    </row>
    <row r="32" ht="15.75" customHeight="1">
      <c r="C32" s="21"/>
      <c r="G32" s="16"/>
    </row>
    <row r="33" ht="15.75" customHeight="1">
      <c r="C33" s="21"/>
      <c r="G33" s="16"/>
    </row>
    <row r="34" ht="15.75" customHeight="1">
      <c r="C34" s="21"/>
      <c r="G34" s="16"/>
    </row>
    <row r="35" ht="15.75" customHeight="1">
      <c r="C35" s="21"/>
      <c r="G35" s="16"/>
    </row>
    <row r="36" ht="15.75" customHeight="1">
      <c r="C36" s="21"/>
      <c r="G36" s="16"/>
    </row>
    <row r="37" ht="15.75" customHeight="1">
      <c r="C37" s="21"/>
      <c r="G37" s="16"/>
    </row>
    <row r="38" ht="15.75" customHeight="1">
      <c r="C38" s="21"/>
      <c r="G38" s="16"/>
    </row>
    <row r="39" ht="15.75" customHeight="1">
      <c r="C39" s="21"/>
      <c r="G39" s="16"/>
    </row>
    <row r="40" ht="15.75" customHeight="1">
      <c r="C40" s="21"/>
      <c r="G40" s="16"/>
    </row>
    <row r="41" ht="15.75" customHeight="1">
      <c r="C41" s="21"/>
      <c r="G41" s="16"/>
    </row>
    <row r="42" ht="15.75" customHeight="1">
      <c r="C42" s="21"/>
      <c r="G42" s="16"/>
    </row>
    <row r="43" ht="15.75" customHeight="1">
      <c r="C43" s="21"/>
      <c r="G43" s="16"/>
    </row>
    <row r="44" ht="15.75" customHeight="1">
      <c r="C44" s="21"/>
      <c r="G44" s="16"/>
    </row>
    <row r="45" ht="15.75" customHeight="1">
      <c r="C45" s="21"/>
      <c r="G45" s="16"/>
    </row>
    <row r="46" ht="15.75" customHeight="1">
      <c r="C46" s="21"/>
      <c r="G46" s="16"/>
    </row>
    <row r="47" ht="15.75" customHeight="1">
      <c r="C47" s="21"/>
      <c r="G47" s="16"/>
    </row>
    <row r="48" ht="15.75" customHeight="1">
      <c r="C48" s="21"/>
      <c r="G48" s="16"/>
    </row>
    <row r="49" ht="15.75" customHeight="1">
      <c r="C49" s="21"/>
      <c r="G49" s="16"/>
    </row>
    <row r="50" ht="15.75" customHeight="1">
      <c r="C50" s="21"/>
      <c r="G50" s="16"/>
    </row>
    <row r="51" ht="15.75" customHeight="1">
      <c r="C51" s="21"/>
      <c r="G51" s="16"/>
    </row>
    <row r="52" ht="15.75" customHeight="1">
      <c r="C52" s="21"/>
      <c r="G52" s="16"/>
    </row>
    <row r="53" ht="15.75" customHeight="1">
      <c r="C53" s="21"/>
      <c r="G53" s="16"/>
    </row>
    <row r="54" ht="15.75" customHeight="1">
      <c r="C54" s="21"/>
      <c r="G54" s="16"/>
    </row>
    <row r="55" ht="15.75" customHeight="1">
      <c r="C55" s="21"/>
      <c r="G55" s="16"/>
    </row>
    <row r="56" ht="15.75" customHeight="1">
      <c r="C56" s="21"/>
      <c r="G56" s="16"/>
    </row>
    <row r="57" ht="15.75" customHeight="1">
      <c r="C57" s="21"/>
      <c r="G57" s="16"/>
    </row>
    <row r="58" ht="15.75" customHeight="1">
      <c r="C58" s="21"/>
      <c r="G58" s="16"/>
    </row>
    <row r="59" ht="15.75" customHeight="1">
      <c r="C59" s="21"/>
      <c r="G59" s="16"/>
    </row>
    <row r="60" ht="15.75" customHeight="1">
      <c r="C60" s="21"/>
      <c r="G60" s="16"/>
    </row>
    <row r="61" ht="15.75" customHeight="1">
      <c r="C61" s="21"/>
      <c r="G61" s="16"/>
    </row>
    <row r="62" ht="15.75" customHeight="1">
      <c r="C62" s="21"/>
      <c r="G62" s="16"/>
    </row>
    <row r="63" ht="15.75" customHeight="1">
      <c r="C63" s="21"/>
      <c r="G63" s="16"/>
    </row>
    <row r="64" ht="15.75" customHeight="1">
      <c r="C64" s="21"/>
      <c r="G64" s="16"/>
    </row>
    <row r="65" ht="15.75" customHeight="1">
      <c r="C65" s="21"/>
      <c r="G65" s="16"/>
    </row>
    <row r="66" ht="15.75" customHeight="1">
      <c r="C66" s="21"/>
      <c r="G66" s="16"/>
    </row>
    <row r="67" ht="15.75" customHeight="1">
      <c r="C67" s="21"/>
      <c r="G67" s="16"/>
    </row>
    <row r="68" ht="15.75" customHeight="1">
      <c r="C68" s="21"/>
      <c r="G68" s="16"/>
    </row>
    <row r="69" ht="15.75" customHeight="1">
      <c r="C69" s="21"/>
      <c r="G69" s="16"/>
    </row>
    <row r="70" ht="15.75" customHeight="1">
      <c r="C70" s="21"/>
      <c r="G70" s="16"/>
    </row>
    <row r="71" ht="15.75" customHeight="1">
      <c r="C71" s="21"/>
      <c r="G71" s="16"/>
    </row>
    <row r="72" ht="15.75" customHeight="1">
      <c r="C72" s="21"/>
      <c r="G72" s="16"/>
    </row>
    <row r="73" ht="15.75" customHeight="1">
      <c r="C73" s="21"/>
      <c r="G73" s="16"/>
    </row>
    <row r="74" ht="15.75" customHeight="1">
      <c r="C74" s="21"/>
      <c r="G74" s="16"/>
    </row>
    <row r="75" ht="15.75" customHeight="1">
      <c r="C75" s="21"/>
      <c r="G75" s="16"/>
    </row>
    <row r="76" ht="15.75" customHeight="1">
      <c r="C76" s="21"/>
      <c r="G76" s="16"/>
    </row>
    <row r="77" ht="15.75" customHeight="1">
      <c r="C77" s="21"/>
      <c r="G77" s="16"/>
    </row>
    <row r="78" ht="15.75" customHeight="1">
      <c r="C78" s="21"/>
      <c r="G78" s="16"/>
    </row>
    <row r="79" ht="15.75" customHeight="1">
      <c r="C79" s="21"/>
      <c r="G79" s="16"/>
    </row>
    <row r="80" ht="15.75" customHeight="1">
      <c r="C80" s="21"/>
      <c r="G80" s="16"/>
    </row>
    <row r="81" ht="15.75" customHeight="1">
      <c r="C81" s="21"/>
      <c r="G81" s="16"/>
    </row>
    <row r="82" ht="15.75" customHeight="1">
      <c r="C82" s="21"/>
      <c r="G82" s="16"/>
    </row>
    <row r="83" ht="15.75" customHeight="1">
      <c r="C83" s="21"/>
      <c r="G83" s="16"/>
    </row>
    <row r="84" ht="15.75" customHeight="1">
      <c r="C84" s="21"/>
      <c r="G84" s="16"/>
    </row>
    <row r="85" ht="15.75" customHeight="1">
      <c r="C85" s="21"/>
      <c r="G85" s="16"/>
    </row>
    <row r="86" ht="15.75" customHeight="1">
      <c r="C86" s="21"/>
      <c r="G86" s="16"/>
    </row>
    <row r="87" ht="15.75" customHeight="1">
      <c r="C87" s="21"/>
      <c r="G87" s="16"/>
    </row>
    <row r="88" ht="15.75" customHeight="1">
      <c r="C88" s="21"/>
      <c r="G88" s="16"/>
    </row>
    <row r="89" ht="15.75" customHeight="1">
      <c r="C89" s="21"/>
      <c r="G89" s="16"/>
    </row>
    <row r="90" ht="15.75" customHeight="1">
      <c r="C90" s="21"/>
      <c r="G90" s="16"/>
    </row>
    <row r="91" ht="15.75" customHeight="1">
      <c r="C91" s="21"/>
      <c r="G91" s="16"/>
    </row>
    <row r="92" ht="15.75" customHeight="1">
      <c r="C92" s="21"/>
      <c r="G92" s="16"/>
    </row>
    <row r="93" ht="15.75" customHeight="1">
      <c r="C93" s="21"/>
      <c r="G93" s="16"/>
    </row>
    <row r="94" ht="15.75" customHeight="1">
      <c r="C94" s="21"/>
      <c r="G94" s="16"/>
    </row>
    <row r="95" ht="15.75" customHeight="1">
      <c r="C95" s="21"/>
      <c r="G95" s="16"/>
    </row>
    <row r="96" ht="15.75" customHeight="1">
      <c r="C96" s="21"/>
      <c r="G96" s="16"/>
    </row>
    <row r="97" ht="15.75" customHeight="1">
      <c r="C97" s="21"/>
      <c r="G97" s="16"/>
    </row>
    <row r="98" ht="15.75" customHeight="1">
      <c r="C98" s="21"/>
      <c r="G98" s="16"/>
    </row>
    <row r="99" ht="15.75" customHeight="1">
      <c r="C99" s="21"/>
      <c r="G99" s="16"/>
    </row>
    <row r="100" ht="15.75" customHeight="1">
      <c r="C100" s="21"/>
      <c r="G100" s="16"/>
    </row>
    <row r="101" ht="15.75" customHeight="1">
      <c r="C101" s="21"/>
      <c r="G101" s="16"/>
    </row>
    <row r="102" ht="15.75" customHeight="1">
      <c r="C102" s="21"/>
      <c r="G102" s="16"/>
    </row>
    <row r="103" ht="15.75" customHeight="1">
      <c r="C103" s="21"/>
      <c r="G103" s="16"/>
    </row>
    <row r="104" ht="15.75" customHeight="1">
      <c r="C104" s="21"/>
      <c r="G104" s="16"/>
    </row>
    <row r="105" ht="15.75" customHeight="1">
      <c r="C105" s="21"/>
      <c r="G105" s="16"/>
    </row>
    <row r="106" ht="15.75" customHeight="1">
      <c r="C106" s="21"/>
      <c r="G106" s="16"/>
    </row>
    <row r="107" ht="15.75" customHeight="1">
      <c r="C107" s="21"/>
      <c r="G107" s="16"/>
    </row>
    <row r="108" ht="15.75" customHeight="1">
      <c r="C108" s="21"/>
      <c r="G108" s="16"/>
    </row>
    <row r="109" ht="15.75" customHeight="1">
      <c r="C109" s="21"/>
      <c r="G109" s="16"/>
    </row>
    <row r="110" ht="15.75" customHeight="1">
      <c r="C110" s="21"/>
      <c r="G110" s="16"/>
    </row>
    <row r="111" ht="15.75" customHeight="1">
      <c r="C111" s="21"/>
      <c r="G111" s="16"/>
    </row>
    <row r="112" ht="15.75" customHeight="1">
      <c r="C112" s="21"/>
      <c r="G112" s="16"/>
    </row>
    <row r="113" ht="15.75" customHeight="1">
      <c r="C113" s="21"/>
      <c r="G113" s="16"/>
    </row>
    <row r="114" ht="15.75" customHeight="1">
      <c r="C114" s="21"/>
      <c r="G114" s="16"/>
    </row>
    <row r="115" ht="15.75" customHeight="1">
      <c r="C115" s="21"/>
      <c r="G115" s="16"/>
    </row>
    <row r="116" ht="15.75" customHeight="1">
      <c r="C116" s="21"/>
      <c r="G116" s="16"/>
    </row>
    <row r="117" ht="15.75" customHeight="1">
      <c r="C117" s="21"/>
      <c r="G117" s="16"/>
    </row>
    <row r="118" ht="15.75" customHeight="1">
      <c r="C118" s="21"/>
      <c r="G118" s="16"/>
    </row>
    <row r="119" ht="15.75" customHeight="1">
      <c r="C119" s="21"/>
      <c r="G119" s="16"/>
    </row>
    <row r="120" ht="15.75" customHeight="1">
      <c r="C120" s="21"/>
      <c r="G120" s="16"/>
    </row>
    <row r="121" ht="15.75" customHeight="1">
      <c r="C121" s="21"/>
      <c r="G121" s="16"/>
    </row>
    <row r="122" ht="15.75" customHeight="1">
      <c r="C122" s="21"/>
      <c r="G122" s="16"/>
    </row>
    <row r="123" ht="15.75" customHeight="1">
      <c r="C123" s="21"/>
      <c r="G123" s="16"/>
    </row>
    <row r="124" ht="15.75" customHeight="1">
      <c r="C124" s="21"/>
      <c r="G124" s="16"/>
    </row>
    <row r="125" ht="15.75" customHeight="1">
      <c r="C125" s="21"/>
      <c r="G125" s="16"/>
    </row>
    <row r="126" ht="15.75" customHeight="1">
      <c r="C126" s="21"/>
      <c r="G126" s="16"/>
    </row>
    <row r="127" ht="15.75" customHeight="1">
      <c r="C127" s="21"/>
      <c r="G127" s="16"/>
    </row>
    <row r="128" ht="15.75" customHeight="1">
      <c r="C128" s="21"/>
      <c r="G128" s="16"/>
    </row>
    <row r="129" ht="15.75" customHeight="1">
      <c r="C129" s="21"/>
      <c r="G129" s="16"/>
    </row>
    <row r="130" ht="15.75" customHeight="1">
      <c r="C130" s="21"/>
      <c r="G130" s="16"/>
    </row>
    <row r="131" ht="15.75" customHeight="1">
      <c r="C131" s="21"/>
      <c r="G131" s="16"/>
    </row>
    <row r="132" ht="15.75" customHeight="1">
      <c r="C132" s="21"/>
      <c r="G132" s="16"/>
    </row>
    <row r="133" ht="15.75" customHeight="1">
      <c r="C133" s="21"/>
      <c r="G133" s="16"/>
    </row>
    <row r="134" ht="15.75" customHeight="1">
      <c r="C134" s="21"/>
      <c r="G134" s="16"/>
    </row>
    <row r="135" ht="15.75" customHeight="1">
      <c r="C135" s="21"/>
      <c r="G135" s="16"/>
    </row>
    <row r="136" ht="15.75" customHeight="1">
      <c r="C136" s="21"/>
      <c r="G136" s="16"/>
    </row>
    <row r="137" ht="15.75" customHeight="1">
      <c r="C137" s="21"/>
      <c r="G137" s="16"/>
    </row>
    <row r="138" ht="15.75" customHeight="1">
      <c r="C138" s="21"/>
      <c r="G138" s="16"/>
    </row>
    <row r="139" ht="15.75" customHeight="1">
      <c r="C139" s="21"/>
      <c r="G139" s="16"/>
    </row>
    <row r="140" ht="15.75" customHeight="1">
      <c r="C140" s="21"/>
      <c r="G140" s="16"/>
    </row>
    <row r="141" ht="15.75" customHeight="1">
      <c r="C141" s="21"/>
      <c r="G141" s="16"/>
    </row>
    <row r="142" ht="15.75" customHeight="1">
      <c r="C142" s="21"/>
      <c r="G142" s="16"/>
    </row>
    <row r="143" ht="15.75" customHeight="1">
      <c r="C143" s="21"/>
      <c r="G143" s="16"/>
    </row>
    <row r="144" ht="15.75" customHeight="1">
      <c r="C144" s="21"/>
      <c r="G144" s="16"/>
    </row>
    <row r="145" ht="15.75" customHeight="1">
      <c r="C145" s="21"/>
      <c r="G145" s="16"/>
    </row>
    <row r="146" ht="15.75" customHeight="1">
      <c r="C146" s="21"/>
      <c r="G146" s="16"/>
    </row>
    <row r="147" ht="15.75" customHeight="1">
      <c r="C147" s="21"/>
      <c r="G147" s="16"/>
    </row>
    <row r="148" ht="15.75" customHeight="1">
      <c r="C148" s="21"/>
      <c r="G148" s="16"/>
    </row>
    <row r="149" ht="15.75" customHeight="1">
      <c r="C149" s="21"/>
      <c r="G149" s="16"/>
    </row>
    <row r="150" ht="15.75" customHeight="1">
      <c r="C150" s="21"/>
      <c r="G150" s="16"/>
    </row>
    <row r="151" ht="15.75" customHeight="1">
      <c r="C151" s="21"/>
      <c r="G151" s="16"/>
    </row>
    <row r="152" ht="15.75" customHeight="1">
      <c r="C152" s="21"/>
      <c r="G152" s="16"/>
    </row>
    <row r="153" ht="15.75" customHeight="1">
      <c r="C153" s="21"/>
      <c r="G153" s="16"/>
    </row>
    <row r="154" ht="15.75" customHeight="1">
      <c r="C154" s="21"/>
      <c r="G154" s="16"/>
    </row>
    <row r="155" ht="15.75" customHeight="1">
      <c r="C155" s="21"/>
      <c r="G155" s="16"/>
    </row>
    <row r="156" ht="15.75" customHeight="1">
      <c r="C156" s="21"/>
      <c r="G156" s="16"/>
    </row>
    <row r="157" ht="15.75" customHeight="1">
      <c r="C157" s="21"/>
      <c r="G157" s="16"/>
    </row>
    <row r="158" ht="15.75" customHeight="1">
      <c r="C158" s="21"/>
      <c r="G158" s="16"/>
    </row>
    <row r="159" ht="15.75" customHeight="1">
      <c r="C159" s="21"/>
      <c r="G159" s="16"/>
    </row>
    <row r="160" ht="15.75" customHeight="1">
      <c r="C160" s="21"/>
      <c r="G160" s="16"/>
    </row>
    <row r="161" ht="15.75" customHeight="1">
      <c r="C161" s="21"/>
      <c r="G161" s="16"/>
    </row>
    <row r="162" ht="15.75" customHeight="1">
      <c r="C162" s="21"/>
      <c r="G162" s="16"/>
    </row>
    <row r="163" ht="15.75" customHeight="1">
      <c r="C163" s="21"/>
      <c r="G163" s="16"/>
    </row>
    <row r="164" ht="15.75" customHeight="1">
      <c r="C164" s="21"/>
      <c r="G164" s="16"/>
    </row>
    <row r="165" ht="15.75" customHeight="1">
      <c r="C165" s="21"/>
      <c r="G165" s="16"/>
    </row>
    <row r="166" ht="15.75" customHeight="1">
      <c r="C166" s="21"/>
      <c r="G166" s="16"/>
    </row>
    <row r="167" ht="15.75" customHeight="1">
      <c r="C167" s="21"/>
      <c r="G167" s="16"/>
    </row>
    <row r="168" ht="15.75" customHeight="1">
      <c r="C168" s="21"/>
      <c r="G168" s="16"/>
    </row>
    <row r="169" ht="15.75" customHeight="1">
      <c r="C169" s="21"/>
      <c r="G169" s="16"/>
    </row>
    <row r="170" ht="15.75" customHeight="1">
      <c r="C170" s="21"/>
      <c r="G170" s="16"/>
    </row>
    <row r="171" ht="15.75" customHeight="1">
      <c r="C171" s="21"/>
      <c r="G171" s="16"/>
    </row>
    <row r="172" ht="15.75" customHeight="1">
      <c r="C172" s="21"/>
      <c r="G172" s="16"/>
    </row>
    <row r="173" ht="15.75" customHeight="1">
      <c r="C173" s="21"/>
      <c r="G173" s="16"/>
    </row>
    <row r="174" ht="15.75" customHeight="1">
      <c r="C174" s="21"/>
      <c r="G174" s="16"/>
    </row>
    <row r="175" ht="15.75" customHeight="1">
      <c r="C175" s="21"/>
      <c r="G175" s="16"/>
    </row>
    <row r="176" ht="15.75" customHeight="1">
      <c r="C176" s="21"/>
      <c r="G176" s="16"/>
    </row>
    <row r="177" ht="15.75" customHeight="1">
      <c r="C177" s="21"/>
      <c r="G177" s="16"/>
    </row>
    <row r="178" ht="15.75" customHeight="1">
      <c r="C178" s="21"/>
      <c r="G178" s="16"/>
    </row>
    <row r="179" ht="15.75" customHeight="1">
      <c r="C179" s="21"/>
      <c r="G179" s="16"/>
    </row>
    <row r="180" ht="15.75" customHeight="1">
      <c r="C180" s="21"/>
      <c r="G180" s="16"/>
    </row>
    <row r="181" ht="15.75" customHeight="1">
      <c r="C181" s="21"/>
      <c r="G181" s="16"/>
    </row>
    <row r="182" ht="15.75" customHeight="1">
      <c r="C182" s="21"/>
      <c r="G182" s="16"/>
    </row>
    <row r="183" ht="15.75" customHeight="1">
      <c r="C183" s="21"/>
      <c r="G183" s="16"/>
    </row>
    <row r="184" ht="15.75" customHeight="1">
      <c r="C184" s="21"/>
      <c r="G184" s="16"/>
    </row>
    <row r="185" ht="15.75" customHeight="1">
      <c r="C185" s="21"/>
      <c r="G185" s="16"/>
    </row>
    <row r="186" ht="15.75" customHeight="1">
      <c r="C186" s="21"/>
      <c r="G186" s="16"/>
    </row>
    <row r="187" ht="15.75" customHeight="1">
      <c r="C187" s="21"/>
      <c r="G187" s="16"/>
    </row>
    <row r="188" ht="15.75" customHeight="1">
      <c r="C188" s="21"/>
      <c r="G188" s="16"/>
    </row>
    <row r="189" ht="15.75" customHeight="1">
      <c r="C189" s="21"/>
      <c r="G189" s="16"/>
    </row>
    <row r="190" ht="15.75" customHeight="1">
      <c r="C190" s="21"/>
      <c r="G190" s="16"/>
    </row>
    <row r="191" ht="15.75" customHeight="1">
      <c r="C191" s="21"/>
      <c r="G191" s="16"/>
    </row>
    <row r="192" ht="15.75" customHeight="1">
      <c r="C192" s="21"/>
      <c r="G192" s="16"/>
    </row>
    <row r="193" ht="15.75" customHeight="1">
      <c r="C193" s="21"/>
      <c r="G193" s="16"/>
    </row>
    <row r="194" ht="15.75" customHeight="1">
      <c r="C194" s="21"/>
      <c r="G194" s="16"/>
    </row>
    <row r="195" ht="15.75" customHeight="1">
      <c r="C195" s="21"/>
      <c r="G195" s="16"/>
    </row>
    <row r="196" ht="15.75" customHeight="1">
      <c r="C196" s="21"/>
      <c r="G196" s="16"/>
    </row>
    <row r="197" ht="15.75" customHeight="1">
      <c r="C197" s="21"/>
      <c r="G197" s="16"/>
    </row>
    <row r="198" ht="15.75" customHeight="1">
      <c r="C198" s="21"/>
      <c r="G198" s="16"/>
    </row>
    <row r="199" ht="15.75" customHeight="1">
      <c r="C199" s="21"/>
      <c r="G199" s="16"/>
    </row>
    <row r="200" ht="15.75" customHeight="1">
      <c r="C200" s="21"/>
      <c r="G200" s="16"/>
    </row>
    <row r="201" ht="15.75" customHeight="1">
      <c r="C201" s="21"/>
      <c r="G201" s="16"/>
    </row>
    <row r="202" ht="15.75" customHeight="1">
      <c r="C202" s="21"/>
      <c r="G202" s="16"/>
    </row>
    <row r="203" ht="15.75" customHeight="1">
      <c r="C203" s="21"/>
      <c r="G203" s="16"/>
    </row>
    <row r="204" ht="15.75" customHeight="1">
      <c r="C204" s="21"/>
      <c r="G204" s="16"/>
    </row>
    <row r="205" ht="15.75" customHeight="1">
      <c r="C205" s="21"/>
      <c r="G205" s="16"/>
    </row>
    <row r="206" ht="15.75" customHeight="1">
      <c r="C206" s="21"/>
      <c r="G206" s="16"/>
    </row>
    <row r="207" ht="15.75" customHeight="1">
      <c r="C207" s="21"/>
      <c r="G207" s="16"/>
    </row>
    <row r="208" ht="15.75" customHeight="1">
      <c r="C208" s="21"/>
      <c r="G208" s="16"/>
    </row>
    <row r="209" ht="15.75" customHeight="1">
      <c r="C209" s="21"/>
      <c r="G209" s="16"/>
    </row>
    <row r="210" ht="15.75" customHeight="1">
      <c r="C210" s="21"/>
      <c r="G210" s="16"/>
    </row>
    <row r="211" ht="15.75" customHeight="1">
      <c r="C211" s="21"/>
      <c r="G211" s="16"/>
    </row>
    <row r="212" ht="15.75" customHeight="1">
      <c r="C212" s="21"/>
      <c r="G212" s="16"/>
    </row>
    <row r="213" ht="15.75" customHeight="1">
      <c r="C213" s="21"/>
      <c r="G213" s="16"/>
    </row>
    <row r="214" ht="15.75" customHeight="1">
      <c r="C214" s="21"/>
      <c r="G214" s="16"/>
    </row>
    <row r="215" ht="15.75" customHeight="1">
      <c r="C215" s="21"/>
      <c r="G215" s="16"/>
    </row>
    <row r="216" ht="15.75" customHeight="1">
      <c r="C216" s="21"/>
      <c r="G216" s="16"/>
    </row>
    <row r="217" ht="15.75" customHeight="1">
      <c r="C217" s="21"/>
      <c r="G217" s="16"/>
    </row>
    <row r="218" ht="15.75" customHeight="1">
      <c r="C218" s="21"/>
      <c r="G218" s="16"/>
    </row>
    <row r="219" ht="15.75" customHeight="1">
      <c r="C219" s="21"/>
      <c r="G219" s="16"/>
    </row>
    <row r="220" ht="15.75" customHeight="1">
      <c r="C220" s="21"/>
      <c r="G220" s="16"/>
    </row>
    <row r="221" ht="15.75" customHeight="1">
      <c r="C221" s="21"/>
      <c r="G221" s="16"/>
    </row>
    <row r="222" ht="15.75" customHeight="1">
      <c r="C222" s="21"/>
      <c r="G222" s="16"/>
    </row>
    <row r="223" ht="15.75" customHeight="1">
      <c r="C223" s="21"/>
      <c r="G223" s="16"/>
    </row>
    <row r="224" ht="15.75" customHeight="1">
      <c r="C224" s="21"/>
      <c r="G224" s="16"/>
    </row>
    <row r="225" ht="15.75" customHeight="1">
      <c r="C225" s="21"/>
      <c r="G225" s="16"/>
    </row>
    <row r="226" ht="15.75" customHeight="1">
      <c r="C226" s="21"/>
      <c r="G226" s="16"/>
    </row>
    <row r="227" ht="15.75" customHeight="1">
      <c r="C227" s="21"/>
      <c r="G227" s="16"/>
    </row>
    <row r="228" ht="15.75" customHeight="1">
      <c r="C228" s="21"/>
      <c r="G228" s="16"/>
    </row>
    <row r="229" ht="15.75" customHeight="1">
      <c r="C229" s="21"/>
      <c r="G229" s="16"/>
    </row>
    <row r="230" ht="15.75" customHeight="1">
      <c r="C230" s="21"/>
      <c r="G230" s="16"/>
    </row>
    <row r="231" ht="15.75" customHeight="1">
      <c r="C231" s="21"/>
      <c r="G231" s="16"/>
    </row>
    <row r="232" ht="15.75" customHeight="1">
      <c r="C232" s="21"/>
      <c r="G232" s="16"/>
    </row>
    <row r="233" ht="15.75" customHeight="1">
      <c r="C233" s="21"/>
      <c r="G233" s="16"/>
    </row>
    <row r="234" ht="15.75" customHeight="1">
      <c r="C234" s="21"/>
      <c r="G234" s="16"/>
    </row>
    <row r="235" ht="15.75" customHeight="1">
      <c r="C235" s="21"/>
      <c r="G235" s="16"/>
    </row>
    <row r="236" ht="15.75" customHeight="1">
      <c r="C236" s="21"/>
      <c r="G236" s="16"/>
    </row>
    <row r="237" ht="15.75" customHeight="1">
      <c r="C237" s="21"/>
      <c r="G237" s="16"/>
    </row>
    <row r="238" ht="15.75" customHeight="1">
      <c r="C238" s="21"/>
      <c r="G238" s="16"/>
    </row>
    <row r="239" ht="15.75" customHeight="1">
      <c r="C239" s="21"/>
      <c r="G239" s="16"/>
    </row>
    <row r="240" ht="15.75" customHeight="1">
      <c r="C240" s="21"/>
      <c r="G240" s="16"/>
    </row>
    <row r="241" ht="15.75" customHeight="1">
      <c r="C241" s="21"/>
      <c r="G241" s="16"/>
    </row>
    <row r="242" ht="15.75" customHeight="1">
      <c r="C242" s="21"/>
      <c r="G242" s="16"/>
    </row>
    <row r="243" ht="15.75" customHeight="1">
      <c r="C243" s="21"/>
      <c r="G243" s="16"/>
    </row>
    <row r="244" ht="15.75" customHeight="1">
      <c r="C244" s="21"/>
      <c r="G244" s="16"/>
    </row>
    <row r="245" ht="15.75" customHeight="1">
      <c r="C245" s="21"/>
      <c r="G245" s="16"/>
    </row>
    <row r="246" ht="15.75" customHeight="1">
      <c r="C246" s="21"/>
      <c r="G246" s="16"/>
    </row>
    <row r="247" ht="15.75" customHeight="1">
      <c r="C247" s="21"/>
      <c r="G247" s="16"/>
    </row>
    <row r="248" ht="15.75" customHeight="1">
      <c r="C248" s="21"/>
      <c r="G248" s="16"/>
    </row>
    <row r="249" ht="15.75" customHeight="1">
      <c r="C249" s="21"/>
      <c r="G249" s="16"/>
    </row>
    <row r="250" ht="15.75" customHeight="1">
      <c r="C250" s="21"/>
      <c r="G250" s="16"/>
    </row>
    <row r="251" ht="15.75" customHeight="1">
      <c r="C251" s="21"/>
      <c r="G251" s="16"/>
    </row>
    <row r="252" ht="15.75" customHeight="1">
      <c r="C252" s="21"/>
      <c r="G252" s="16"/>
    </row>
    <row r="253" ht="15.75" customHeight="1">
      <c r="C253" s="21"/>
      <c r="G253" s="16"/>
    </row>
    <row r="254" ht="15.75" customHeight="1">
      <c r="C254" s="21"/>
      <c r="G254" s="16"/>
    </row>
    <row r="255" ht="15.75" customHeight="1">
      <c r="C255" s="21"/>
      <c r="G255" s="16"/>
    </row>
    <row r="256" ht="15.75" customHeight="1">
      <c r="C256" s="21"/>
      <c r="G256" s="16"/>
    </row>
    <row r="257" ht="15.75" customHeight="1">
      <c r="C257" s="21"/>
      <c r="G257" s="16"/>
    </row>
    <row r="258" ht="15.75" customHeight="1">
      <c r="C258" s="21"/>
      <c r="G258" s="16"/>
    </row>
    <row r="259" ht="15.75" customHeight="1">
      <c r="C259" s="21"/>
      <c r="G259" s="16"/>
    </row>
    <row r="260" ht="15.75" customHeight="1">
      <c r="C260" s="21"/>
      <c r="G260" s="16"/>
    </row>
    <row r="261" ht="15.75" customHeight="1">
      <c r="C261" s="21"/>
      <c r="G261" s="16"/>
    </row>
    <row r="262" ht="15.75" customHeight="1">
      <c r="C262" s="21"/>
      <c r="G262" s="16"/>
    </row>
    <row r="263" ht="15.75" customHeight="1">
      <c r="C263" s="21"/>
      <c r="G263" s="16"/>
    </row>
    <row r="264" ht="15.75" customHeight="1">
      <c r="C264" s="21"/>
      <c r="G264" s="16"/>
    </row>
    <row r="265" ht="15.75" customHeight="1">
      <c r="C265" s="21"/>
      <c r="G265" s="16"/>
    </row>
    <row r="266" ht="15.75" customHeight="1">
      <c r="C266" s="21"/>
      <c r="G266" s="16"/>
    </row>
    <row r="267" ht="15.75" customHeight="1">
      <c r="C267" s="21"/>
      <c r="G267" s="16"/>
    </row>
    <row r="268" ht="15.75" customHeight="1">
      <c r="C268" s="21"/>
      <c r="G268" s="16"/>
    </row>
    <row r="269" ht="15.75" customHeight="1">
      <c r="C269" s="21"/>
      <c r="G269" s="16"/>
    </row>
    <row r="270" ht="15.75" customHeight="1">
      <c r="C270" s="21"/>
      <c r="G270" s="16"/>
    </row>
    <row r="271" ht="15.75" customHeight="1">
      <c r="C271" s="21"/>
      <c r="G271" s="16"/>
    </row>
    <row r="272" ht="15.75" customHeight="1">
      <c r="C272" s="21"/>
      <c r="G272" s="16"/>
    </row>
    <row r="273" ht="15.75" customHeight="1">
      <c r="C273" s="21"/>
      <c r="G273" s="16"/>
    </row>
    <row r="274" ht="15.75" customHeight="1">
      <c r="C274" s="21"/>
      <c r="G274" s="16"/>
    </row>
    <row r="275" ht="15.75" customHeight="1">
      <c r="C275" s="21"/>
      <c r="G275" s="16"/>
    </row>
    <row r="276" ht="15.75" customHeight="1">
      <c r="C276" s="21"/>
      <c r="G276" s="16"/>
    </row>
    <row r="277" ht="15.75" customHeight="1">
      <c r="C277" s="21"/>
      <c r="G277" s="16"/>
    </row>
    <row r="278" ht="15.75" customHeight="1">
      <c r="C278" s="21"/>
      <c r="G278" s="16"/>
    </row>
    <row r="279" ht="15.75" customHeight="1">
      <c r="C279" s="21"/>
      <c r="G279" s="16"/>
    </row>
    <row r="280" ht="15.75" customHeight="1">
      <c r="C280" s="21"/>
      <c r="G280" s="16"/>
    </row>
    <row r="281" ht="15.75" customHeight="1">
      <c r="C281" s="21"/>
      <c r="G281" s="16"/>
    </row>
    <row r="282" ht="15.75" customHeight="1">
      <c r="C282" s="21"/>
      <c r="G282" s="16"/>
    </row>
    <row r="283" ht="15.75" customHeight="1">
      <c r="C283" s="21"/>
      <c r="G283" s="16"/>
    </row>
    <row r="284" ht="15.75" customHeight="1">
      <c r="C284" s="21"/>
      <c r="G284" s="16"/>
    </row>
    <row r="285" ht="15.75" customHeight="1">
      <c r="C285" s="21"/>
      <c r="G285" s="16"/>
    </row>
    <row r="286" ht="15.75" customHeight="1">
      <c r="C286" s="21"/>
      <c r="G286" s="16"/>
    </row>
    <row r="287" ht="15.75" customHeight="1">
      <c r="C287" s="21"/>
      <c r="G287" s="16"/>
    </row>
    <row r="288" ht="15.75" customHeight="1">
      <c r="C288" s="21"/>
      <c r="G288" s="16"/>
    </row>
    <row r="289" ht="15.75" customHeight="1">
      <c r="C289" s="21"/>
      <c r="G289" s="16"/>
    </row>
    <row r="290" ht="15.75" customHeight="1">
      <c r="C290" s="21"/>
      <c r="G290" s="16"/>
    </row>
    <row r="291" ht="15.75" customHeight="1">
      <c r="C291" s="21"/>
      <c r="G291" s="16"/>
    </row>
    <row r="292" ht="15.75" customHeight="1">
      <c r="C292" s="21"/>
      <c r="G292" s="16"/>
    </row>
    <row r="293" ht="15.75" customHeight="1">
      <c r="C293" s="21"/>
      <c r="G293" s="16"/>
    </row>
    <row r="294" ht="15.75" customHeight="1">
      <c r="C294" s="21"/>
      <c r="G294" s="16"/>
    </row>
    <row r="295" ht="15.75" customHeight="1">
      <c r="C295" s="21"/>
      <c r="G295" s="16"/>
    </row>
    <row r="296" ht="15.75" customHeight="1">
      <c r="C296" s="21"/>
      <c r="G296" s="16"/>
    </row>
    <row r="297" ht="15.75" customHeight="1">
      <c r="C297" s="21"/>
      <c r="G297" s="16"/>
    </row>
    <row r="298" ht="15.75" customHeight="1">
      <c r="C298" s="21"/>
      <c r="G298" s="16"/>
    </row>
    <row r="299" ht="15.75" customHeight="1">
      <c r="C299" s="21"/>
      <c r="G299" s="16"/>
    </row>
    <row r="300" ht="15.75" customHeight="1">
      <c r="C300" s="21"/>
      <c r="G300" s="16"/>
    </row>
    <row r="301" ht="15.75" customHeight="1">
      <c r="C301" s="21"/>
      <c r="G301" s="16"/>
    </row>
    <row r="302" ht="15.75" customHeight="1">
      <c r="C302" s="21"/>
      <c r="G302" s="16"/>
    </row>
    <row r="303" ht="15.75" customHeight="1">
      <c r="C303" s="21"/>
      <c r="G303" s="16"/>
    </row>
    <row r="304" ht="15.75" customHeight="1">
      <c r="C304" s="21"/>
      <c r="G304" s="16"/>
    </row>
    <row r="305" ht="15.75" customHeight="1">
      <c r="C305" s="21"/>
      <c r="G305" s="16"/>
    </row>
    <row r="306" ht="15.75" customHeight="1">
      <c r="C306" s="21"/>
      <c r="G306" s="16"/>
    </row>
    <row r="307" ht="15.75" customHeight="1">
      <c r="C307" s="21"/>
      <c r="G307" s="16"/>
    </row>
    <row r="308" ht="15.75" customHeight="1">
      <c r="C308" s="21"/>
      <c r="G308" s="16"/>
    </row>
    <row r="309" ht="15.75" customHeight="1">
      <c r="C309" s="21"/>
      <c r="G309" s="16"/>
    </row>
    <row r="310" ht="15.75" customHeight="1">
      <c r="C310" s="21"/>
      <c r="G310" s="16"/>
    </row>
    <row r="311" ht="15.75" customHeight="1">
      <c r="C311" s="21"/>
      <c r="G311" s="16"/>
    </row>
    <row r="312" ht="15.75" customHeight="1">
      <c r="C312" s="21"/>
      <c r="G312" s="16"/>
    </row>
    <row r="313" ht="15.75" customHeight="1">
      <c r="C313" s="21"/>
      <c r="G313" s="16"/>
    </row>
    <row r="314" ht="15.75" customHeight="1">
      <c r="C314" s="21"/>
      <c r="G314" s="16"/>
    </row>
    <row r="315" ht="15.75" customHeight="1">
      <c r="C315" s="21"/>
      <c r="G315" s="16"/>
    </row>
    <row r="316" ht="15.75" customHeight="1">
      <c r="C316" s="21"/>
      <c r="G316" s="16"/>
    </row>
    <row r="317" ht="15.75" customHeight="1">
      <c r="C317" s="21"/>
      <c r="G317" s="16"/>
    </row>
    <row r="318" ht="15.75" customHeight="1">
      <c r="C318" s="21"/>
      <c r="G318" s="16"/>
    </row>
    <row r="319" ht="15.75" customHeight="1">
      <c r="C319" s="21"/>
      <c r="G319" s="16"/>
    </row>
    <row r="320" ht="15.75" customHeight="1">
      <c r="C320" s="21"/>
      <c r="G320" s="16"/>
    </row>
    <row r="321" ht="15.75" customHeight="1">
      <c r="C321" s="21"/>
      <c r="G321" s="16"/>
    </row>
    <row r="322" ht="15.75" customHeight="1">
      <c r="C322" s="21"/>
      <c r="G322" s="16"/>
    </row>
    <row r="323" ht="15.75" customHeight="1">
      <c r="C323" s="21"/>
      <c r="G323" s="16"/>
    </row>
    <row r="324" ht="15.75" customHeight="1">
      <c r="C324" s="21"/>
      <c r="G324" s="16"/>
    </row>
    <row r="325" ht="15.75" customHeight="1">
      <c r="C325" s="21"/>
      <c r="G325" s="16"/>
    </row>
    <row r="326" ht="15.75" customHeight="1">
      <c r="C326" s="21"/>
      <c r="G326" s="16"/>
    </row>
    <row r="327" ht="15.75" customHeight="1">
      <c r="C327" s="21"/>
      <c r="G327" s="16"/>
    </row>
    <row r="328" ht="15.75" customHeight="1">
      <c r="C328" s="21"/>
      <c r="G328" s="16"/>
    </row>
    <row r="329" ht="15.75" customHeight="1">
      <c r="C329" s="21"/>
      <c r="G329" s="16"/>
    </row>
    <row r="330" ht="15.75" customHeight="1">
      <c r="C330" s="21"/>
      <c r="G330" s="16"/>
    </row>
    <row r="331" ht="15.75" customHeight="1">
      <c r="C331" s="21"/>
      <c r="G331" s="16"/>
    </row>
    <row r="332" ht="15.75" customHeight="1">
      <c r="C332" s="21"/>
      <c r="G332" s="16"/>
    </row>
    <row r="333" ht="15.75" customHeight="1">
      <c r="C333" s="21"/>
      <c r="G333" s="16"/>
    </row>
    <row r="334" ht="15.75" customHeight="1">
      <c r="C334" s="21"/>
      <c r="G334" s="16"/>
    </row>
    <row r="335" ht="15.75" customHeight="1">
      <c r="C335" s="21"/>
      <c r="G335" s="16"/>
    </row>
    <row r="336" ht="15.75" customHeight="1">
      <c r="C336" s="21"/>
      <c r="G336" s="16"/>
    </row>
    <row r="337" ht="15.75" customHeight="1">
      <c r="C337" s="21"/>
      <c r="G337" s="16"/>
    </row>
    <row r="338" ht="15.75" customHeight="1">
      <c r="C338" s="21"/>
      <c r="G338" s="16"/>
    </row>
    <row r="339" ht="15.75" customHeight="1">
      <c r="C339" s="21"/>
      <c r="G339" s="16"/>
    </row>
    <row r="340" ht="15.75" customHeight="1">
      <c r="C340" s="21"/>
      <c r="G340" s="16"/>
    </row>
    <row r="341" ht="15.75" customHeight="1">
      <c r="C341" s="21"/>
      <c r="G341" s="16"/>
    </row>
    <row r="342" ht="15.75" customHeight="1">
      <c r="C342" s="21"/>
      <c r="G342" s="16"/>
    </row>
    <row r="343" ht="15.75" customHeight="1">
      <c r="C343" s="21"/>
      <c r="G343" s="16"/>
    </row>
    <row r="344" ht="15.75" customHeight="1">
      <c r="C344" s="21"/>
      <c r="G344" s="16"/>
    </row>
    <row r="345" ht="15.75" customHeight="1">
      <c r="C345" s="21"/>
      <c r="G345" s="16"/>
    </row>
    <row r="346" ht="15.75" customHeight="1">
      <c r="C346" s="21"/>
      <c r="G346" s="16"/>
    </row>
    <row r="347" ht="15.75" customHeight="1">
      <c r="C347" s="21"/>
      <c r="G347" s="16"/>
    </row>
    <row r="348" ht="15.75" customHeight="1">
      <c r="C348" s="21"/>
      <c r="G348" s="16"/>
    </row>
    <row r="349" ht="15.75" customHeight="1">
      <c r="C349" s="21"/>
      <c r="G349" s="16"/>
    </row>
    <row r="350" ht="15.75" customHeight="1">
      <c r="C350" s="21"/>
      <c r="G350" s="16"/>
    </row>
    <row r="351" ht="15.75" customHeight="1">
      <c r="C351" s="21"/>
      <c r="G351" s="16"/>
    </row>
    <row r="352" ht="15.75" customHeight="1">
      <c r="C352" s="21"/>
      <c r="G352" s="16"/>
    </row>
    <row r="353" ht="15.75" customHeight="1">
      <c r="C353" s="21"/>
      <c r="G353" s="16"/>
    </row>
    <row r="354" ht="15.75" customHeight="1">
      <c r="C354" s="21"/>
      <c r="G354" s="16"/>
    </row>
    <row r="355" ht="15.75" customHeight="1">
      <c r="C355" s="21"/>
      <c r="G355" s="16"/>
    </row>
    <row r="356" ht="15.75" customHeight="1">
      <c r="C356" s="21"/>
      <c r="G356" s="16"/>
    </row>
    <row r="357" ht="15.75" customHeight="1">
      <c r="C357" s="21"/>
      <c r="G357" s="16"/>
    </row>
    <row r="358" ht="15.75" customHeight="1">
      <c r="C358" s="21"/>
      <c r="G358" s="16"/>
    </row>
    <row r="359" ht="15.75" customHeight="1">
      <c r="C359" s="21"/>
      <c r="G359" s="16"/>
    </row>
    <row r="360" ht="15.75" customHeight="1">
      <c r="C360" s="21"/>
      <c r="G360" s="16"/>
    </row>
    <row r="361" ht="15.75" customHeight="1">
      <c r="C361" s="21"/>
      <c r="G361" s="16"/>
    </row>
    <row r="362" ht="15.75" customHeight="1">
      <c r="C362" s="21"/>
      <c r="G362" s="16"/>
    </row>
    <row r="363" ht="15.75" customHeight="1">
      <c r="C363" s="21"/>
      <c r="G363" s="16"/>
    </row>
    <row r="364" ht="15.75" customHeight="1">
      <c r="C364" s="21"/>
      <c r="G364" s="16"/>
    </row>
    <row r="365" ht="15.75" customHeight="1">
      <c r="C365" s="21"/>
      <c r="G365" s="16"/>
    </row>
    <row r="366" ht="15.75" customHeight="1">
      <c r="C366" s="21"/>
      <c r="G366" s="16"/>
    </row>
    <row r="367" ht="15.75" customHeight="1">
      <c r="C367" s="21"/>
      <c r="G367" s="16"/>
    </row>
    <row r="368" ht="15.75" customHeight="1">
      <c r="C368" s="21"/>
      <c r="G368" s="16"/>
    </row>
    <row r="369" ht="15.75" customHeight="1">
      <c r="C369" s="21"/>
      <c r="G369" s="16"/>
    </row>
    <row r="370" ht="15.75" customHeight="1">
      <c r="C370" s="21"/>
      <c r="G370" s="16"/>
    </row>
    <row r="371" ht="15.75" customHeight="1">
      <c r="C371" s="21"/>
      <c r="G371" s="16"/>
    </row>
    <row r="372" ht="15.75" customHeight="1">
      <c r="C372" s="21"/>
      <c r="G372" s="16"/>
    </row>
    <row r="373" ht="15.75" customHeight="1">
      <c r="C373" s="21"/>
      <c r="G373" s="16"/>
    </row>
    <row r="374" ht="15.75" customHeight="1">
      <c r="C374" s="21"/>
      <c r="G374" s="16"/>
    </row>
    <row r="375" ht="15.75" customHeight="1">
      <c r="C375" s="21"/>
      <c r="G375" s="16"/>
    </row>
    <row r="376" ht="15.75" customHeight="1">
      <c r="C376" s="21"/>
      <c r="G376" s="16"/>
    </row>
    <row r="377" ht="15.75" customHeight="1">
      <c r="C377" s="21"/>
      <c r="G377" s="16"/>
    </row>
    <row r="378" ht="15.75" customHeight="1">
      <c r="C378" s="21"/>
      <c r="G378" s="16"/>
    </row>
    <row r="379" ht="15.75" customHeight="1">
      <c r="C379" s="21"/>
      <c r="G379" s="16"/>
    </row>
    <row r="380" ht="15.75" customHeight="1">
      <c r="C380" s="21"/>
      <c r="G380" s="16"/>
    </row>
    <row r="381" ht="15.75" customHeight="1">
      <c r="C381" s="21"/>
      <c r="G381" s="16"/>
    </row>
    <row r="382" ht="15.75" customHeight="1">
      <c r="C382" s="21"/>
      <c r="G382" s="16"/>
    </row>
    <row r="383" ht="15.75" customHeight="1">
      <c r="C383" s="21"/>
      <c r="G383" s="16"/>
    </row>
    <row r="384" ht="15.75" customHeight="1">
      <c r="C384" s="21"/>
      <c r="G384" s="16"/>
    </row>
    <row r="385" ht="15.75" customHeight="1">
      <c r="C385" s="21"/>
      <c r="G385" s="16"/>
    </row>
    <row r="386" ht="15.75" customHeight="1">
      <c r="C386" s="21"/>
      <c r="G386" s="16"/>
    </row>
    <row r="387" ht="15.75" customHeight="1">
      <c r="C387" s="21"/>
      <c r="G387" s="16"/>
    </row>
    <row r="388" ht="15.75" customHeight="1">
      <c r="C388" s="21"/>
      <c r="G388" s="16"/>
    </row>
    <row r="389" ht="15.75" customHeight="1">
      <c r="C389" s="21"/>
      <c r="G389" s="16"/>
    </row>
    <row r="390" ht="15.75" customHeight="1">
      <c r="C390" s="21"/>
      <c r="G390" s="16"/>
    </row>
    <row r="391" ht="15.75" customHeight="1">
      <c r="C391" s="21"/>
      <c r="G391" s="16"/>
    </row>
    <row r="392" ht="15.75" customHeight="1">
      <c r="C392" s="21"/>
      <c r="G392" s="16"/>
    </row>
    <row r="393" ht="15.75" customHeight="1">
      <c r="C393" s="21"/>
      <c r="G393" s="16"/>
    </row>
    <row r="394" ht="15.75" customHeight="1">
      <c r="C394" s="21"/>
      <c r="G394" s="16"/>
    </row>
    <row r="395" ht="15.75" customHeight="1">
      <c r="C395" s="21"/>
      <c r="G395" s="16"/>
    </row>
    <row r="396" ht="15.75" customHeight="1">
      <c r="C396" s="21"/>
      <c r="G396" s="16"/>
    </row>
    <row r="397" ht="15.75" customHeight="1">
      <c r="C397" s="21"/>
      <c r="G397" s="16"/>
    </row>
    <row r="398" ht="15.75" customHeight="1">
      <c r="C398" s="21"/>
      <c r="G398" s="16"/>
    </row>
    <row r="399" ht="15.75" customHeight="1">
      <c r="C399" s="21"/>
      <c r="G399" s="16"/>
    </row>
    <row r="400" ht="15.75" customHeight="1">
      <c r="C400" s="21"/>
      <c r="G400" s="16"/>
    </row>
    <row r="401" ht="15.75" customHeight="1">
      <c r="C401" s="21"/>
      <c r="G401" s="16"/>
    </row>
    <row r="402" ht="15.75" customHeight="1">
      <c r="C402" s="21"/>
      <c r="G402" s="16"/>
    </row>
    <row r="403" ht="15.75" customHeight="1">
      <c r="C403" s="21"/>
      <c r="G403" s="16"/>
    </row>
    <row r="404" ht="15.75" customHeight="1">
      <c r="C404" s="21"/>
      <c r="G404" s="16"/>
    </row>
    <row r="405" ht="15.75" customHeight="1">
      <c r="C405" s="21"/>
      <c r="G405" s="16"/>
    </row>
    <row r="406" ht="15.75" customHeight="1">
      <c r="C406" s="21"/>
      <c r="G406" s="16"/>
    </row>
    <row r="407" ht="15.75" customHeight="1">
      <c r="C407" s="21"/>
      <c r="G407" s="16"/>
    </row>
    <row r="408" ht="15.75" customHeight="1">
      <c r="C408" s="21"/>
      <c r="G408" s="16"/>
    </row>
    <row r="409" ht="15.75" customHeight="1">
      <c r="C409" s="21"/>
      <c r="G409" s="16"/>
    </row>
    <row r="410" ht="15.75" customHeight="1">
      <c r="C410" s="21"/>
      <c r="G410" s="16"/>
    </row>
    <row r="411" ht="15.75" customHeight="1">
      <c r="C411" s="21"/>
      <c r="G411" s="16"/>
    </row>
    <row r="412" ht="15.75" customHeight="1">
      <c r="C412" s="21"/>
      <c r="G412" s="16"/>
    </row>
    <row r="413" ht="15.75" customHeight="1">
      <c r="C413" s="21"/>
      <c r="G413" s="16"/>
    </row>
    <row r="414" ht="15.75" customHeight="1">
      <c r="C414" s="21"/>
      <c r="G414" s="16"/>
    </row>
    <row r="415" ht="15.75" customHeight="1">
      <c r="C415" s="21"/>
      <c r="G415" s="16"/>
    </row>
    <row r="416" ht="15.75" customHeight="1">
      <c r="C416" s="21"/>
      <c r="G416" s="16"/>
    </row>
    <row r="417" ht="15.75" customHeight="1">
      <c r="C417" s="21"/>
      <c r="G417" s="16"/>
    </row>
    <row r="418" ht="15.75" customHeight="1">
      <c r="C418" s="21"/>
      <c r="G418" s="16"/>
    </row>
    <row r="419" ht="15.75" customHeight="1">
      <c r="C419" s="21"/>
      <c r="G419" s="16"/>
    </row>
    <row r="420" ht="15.75" customHeight="1">
      <c r="C420" s="21"/>
      <c r="G420" s="16"/>
    </row>
    <row r="421" ht="15.75" customHeight="1">
      <c r="C421" s="21"/>
      <c r="G421" s="16"/>
    </row>
    <row r="422" ht="15.75" customHeight="1">
      <c r="C422" s="21"/>
      <c r="G422" s="16"/>
    </row>
    <row r="423" ht="15.75" customHeight="1">
      <c r="C423" s="21"/>
      <c r="G423" s="16"/>
    </row>
    <row r="424" ht="15.75" customHeight="1">
      <c r="C424" s="21"/>
      <c r="G424" s="16"/>
    </row>
    <row r="425" ht="15.75" customHeight="1">
      <c r="C425" s="21"/>
      <c r="G425" s="16"/>
    </row>
    <row r="426" ht="15.75" customHeight="1">
      <c r="C426" s="21"/>
      <c r="G426" s="16"/>
    </row>
    <row r="427" ht="15.75" customHeight="1">
      <c r="C427" s="21"/>
      <c r="G427" s="16"/>
    </row>
    <row r="428" ht="15.75" customHeight="1">
      <c r="C428" s="21"/>
      <c r="G428" s="16"/>
    </row>
    <row r="429" ht="15.75" customHeight="1">
      <c r="C429" s="21"/>
      <c r="G429" s="16"/>
    </row>
    <row r="430" ht="15.75" customHeight="1">
      <c r="C430" s="21"/>
      <c r="G430" s="16"/>
    </row>
    <row r="431" ht="15.75" customHeight="1">
      <c r="C431" s="21"/>
      <c r="G431" s="16"/>
    </row>
    <row r="432" ht="15.75" customHeight="1">
      <c r="C432" s="21"/>
      <c r="G432" s="16"/>
    </row>
    <row r="433" ht="15.75" customHeight="1">
      <c r="C433" s="21"/>
      <c r="G433" s="16"/>
    </row>
    <row r="434" ht="15.75" customHeight="1">
      <c r="C434" s="21"/>
      <c r="G434" s="16"/>
    </row>
    <row r="435" ht="15.75" customHeight="1">
      <c r="C435" s="21"/>
      <c r="G435" s="16"/>
    </row>
    <row r="436" ht="15.75" customHeight="1">
      <c r="C436" s="21"/>
      <c r="G436" s="16"/>
    </row>
    <row r="437" ht="15.75" customHeight="1">
      <c r="C437" s="21"/>
      <c r="G437" s="16"/>
    </row>
    <row r="438" ht="15.75" customHeight="1">
      <c r="C438" s="21"/>
      <c r="G438" s="16"/>
    </row>
    <row r="439" ht="15.75" customHeight="1">
      <c r="C439" s="21"/>
      <c r="G439" s="16"/>
    </row>
    <row r="440" ht="15.75" customHeight="1">
      <c r="C440" s="21"/>
      <c r="G440" s="16"/>
    </row>
    <row r="441" ht="15.75" customHeight="1">
      <c r="C441" s="21"/>
      <c r="G441" s="16"/>
    </row>
    <row r="442" ht="15.75" customHeight="1">
      <c r="C442" s="21"/>
      <c r="G442" s="16"/>
    </row>
    <row r="443" ht="15.75" customHeight="1">
      <c r="C443" s="21"/>
      <c r="G443" s="16"/>
    </row>
    <row r="444" ht="15.75" customHeight="1">
      <c r="C444" s="21"/>
      <c r="G444" s="16"/>
    </row>
    <row r="445" ht="15.75" customHeight="1">
      <c r="C445" s="21"/>
      <c r="G445" s="16"/>
    </row>
    <row r="446" ht="15.75" customHeight="1">
      <c r="C446" s="21"/>
      <c r="G446" s="16"/>
    </row>
    <row r="447" ht="15.75" customHeight="1">
      <c r="C447" s="21"/>
      <c r="G447" s="16"/>
    </row>
    <row r="448" ht="15.75" customHeight="1">
      <c r="C448" s="21"/>
      <c r="G448" s="16"/>
    </row>
    <row r="449" ht="15.75" customHeight="1">
      <c r="C449" s="21"/>
      <c r="G449" s="16"/>
    </row>
    <row r="450" ht="15.75" customHeight="1">
      <c r="C450" s="21"/>
      <c r="G450" s="16"/>
    </row>
    <row r="451" ht="15.75" customHeight="1">
      <c r="C451" s="21"/>
      <c r="G451" s="16"/>
    </row>
    <row r="452" ht="15.75" customHeight="1">
      <c r="C452" s="21"/>
      <c r="G452" s="16"/>
    </row>
    <row r="453" ht="15.75" customHeight="1">
      <c r="C453" s="21"/>
      <c r="G453" s="16"/>
    </row>
    <row r="454" ht="15.75" customHeight="1">
      <c r="C454" s="21"/>
      <c r="G454" s="16"/>
    </row>
    <row r="455" ht="15.75" customHeight="1">
      <c r="C455" s="21"/>
      <c r="G455" s="16"/>
    </row>
    <row r="456" ht="15.75" customHeight="1">
      <c r="C456" s="21"/>
      <c r="G456" s="16"/>
    </row>
    <row r="457" ht="15.75" customHeight="1">
      <c r="C457" s="21"/>
      <c r="G457" s="16"/>
    </row>
    <row r="458" ht="15.75" customHeight="1">
      <c r="C458" s="21"/>
      <c r="G458" s="16"/>
    </row>
    <row r="459" ht="15.75" customHeight="1">
      <c r="C459" s="21"/>
      <c r="G459" s="16"/>
    </row>
    <row r="460" ht="15.75" customHeight="1">
      <c r="C460" s="21"/>
      <c r="G460" s="16"/>
    </row>
    <row r="461" ht="15.75" customHeight="1">
      <c r="C461" s="21"/>
      <c r="G461" s="16"/>
    </row>
    <row r="462" ht="15.75" customHeight="1">
      <c r="C462" s="21"/>
      <c r="G462" s="16"/>
    </row>
    <row r="463" ht="15.75" customHeight="1">
      <c r="C463" s="21"/>
      <c r="G463" s="16"/>
    </row>
    <row r="464" ht="15.75" customHeight="1">
      <c r="C464" s="21"/>
      <c r="G464" s="16"/>
    </row>
    <row r="465" ht="15.75" customHeight="1">
      <c r="C465" s="21"/>
      <c r="G465" s="16"/>
    </row>
    <row r="466" ht="15.75" customHeight="1">
      <c r="C466" s="21"/>
      <c r="G466" s="16"/>
    </row>
    <row r="467" ht="15.75" customHeight="1">
      <c r="C467" s="21"/>
      <c r="G467" s="16"/>
    </row>
    <row r="468" ht="15.75" customHeight="1">
      <c r="C468" s="21"/>
      <c r="G468" s="16"/>
    </row>
    <row r="469" ht="15.75" customHeight="1">
      <c r="C469" s="21"/>
      <c r="G469" s="16"/>
    </row>
    <row r="470" ht="15.75" customHeight="1">
      <c r="C470" s="21"/>
      <c r="G470" s="16"/>
    </row>
    <row r="471" ht="15.75" customHeight="1">
      <c r="C471" s="21"/>
      <c r="G471" s="16"/>
    </row>
    <row r="472" ht="15.75" customHeight="1">
      <c r="C472" s="21"/>
      <c r="G472" s="16"/>
    </row>
    <row r="473" ht="15.75" customHeight="1">
      <c r="C473" s="21"/>
      <c r="G473" s="16"/>
    </row>
    <row r="474" ht="15.75" customHeight="1">
      <c r="C474" s="21"/>
      <c r="G474" s="16"/>
    </row>
    <row r="475" ht="15.75" customHeight="1">
      <c r="C475" s="21"/>
      <c r="G475" s="16"/>
    </row>
    <row r="476" ht="15.75" customHeight="1">
      <c r="C476" s="21"/>
      <c r="G476" s="16"/>
    </row>
    <row r="477" ht="15.75" customHeight="1">
      <c r="C477" s="21"/>
      <c r="G477" s="16"/>
    </row>
    <row r="478" ht="15.75" customHeight="1">
      <c r="C478" s="21"/>
      <c r="G478" s="16"/>
    </row>
    <row r="479" ht="15.75" customHeight="1">
      <c r="C479" s="21"/>
      <c r="G479" s="16"/>
    </row>
    <row r="480" ht="15.75" customHeight="1">
      <c r="C480" s="21"/>
      <c r="G480" s="16"/>
    </row>
    <row r="481" ht="15.75" customHeight="1">
      <c r="C481" s="21"/>
      <c r="G481" s="16"/>
    </row>
    <row r="482" ht="15.75" customHeight="1">
      <c r="C482" s="21"/>
      <c r="G482" s="16"/>
    </row>
    <row r="483" ht="15.75" customHeight="1">
      <c r="C483" s="21"/>
      <c r="G483" s="16"/>
    </row>
    <row r="484" ht="15.75" customHeight="1">
      <c r="C484" s="21"/>
      <c r="G484" s="16"/>
    </row>
    <row r="485" ht="15.75" customHeight="1">
      <c r="C485" s="21"/>
      <c r="G485" s="16"/>
    </row>
    <row r="486" ht="15.75" customHeight="1">
      <c r="C486" s="21"/>
      <c r="G486" s="16"/>
    </row>
    <row r="487" ht="15.75" customHeight="1">
      <c r="C487" s="21"/>
      <c r="G487" s="16"/>
    </row>
    <row r="488" ht="15.75" customHeight="1">
      <c r="C488" s="21"/>
      <c r="G488" s="16"/>
    </row>
    <row r="489" ht="15.75" customHeight="1">
      <c r="C489" s="21"/>
      <c r="G489" s="16"/>
    </row>
    <row r="490" ht="15.75" customHeight="1">
      <c r="C490" s="21"/>
      <c r="G490" s="16"/>
    </row>
    <row r="491" ht="15.75" customHeight="1">
      <c r="C491" s="21"/>
      <c r="G491" s="16"/>
    </row>
    <row r="492" ht="15.75" customHeight="1">
      <c r="C492" s="21"/>
      <c r="G492" s="16"/>
    </row>
    <row r="493" ht="15.75" customHeight="1">
      <c r="C493" s="21"/>
      <c r="G493" s="16"/>
    </row>
    <row r="494" ht="15.75" customHeight="1">
      <c r="C494" s="21"/>
      <c r="G494" s="16"/>
    </row>
    <row r="495" ht="15.75" customHeight="1">
      <c r="C495" s="21"/>
      <c r="G495" s="16"/>
    </row>
    <row r="496" ht="15.75" customHeight="1">
      <c r="C496" s="21"/>
      <c r="G496" s="16"/>
    </row>
    <row r="497" ht="15.75" customHeight="1">
      <c r="C497" s="21"/>
      <c r="G497" s="16"/>
    </row>
    <row r="498" ht="15.75" customHeight="1">
      <c r="C498" s="21"/>
      <c r="G498" s="16"/>
    </row>
    <row r="499" ht="15.75" customHeight="1">
      <c r="C499" s="21"/>
      <c r="G499" s="16"/>
    </row>
    <row r="500" ht="15.75" customHeight="1">
      <c r="C500" s="21"/>
      <c r="G500" s="16"/>
    </row>
    <row r="501" ht="15.75" customHeight="1">
      <c r="C501" s="21"/>
      <c r="G501" s="16"/>
    </row>
    <row r="502" ht="15.75" customHeight="1">
      <c r="C502" s="21"/>
      <c r="G502" s="16"/>
    </row>
    <row r="503" ht="15.75" customHeight="1">
      <c r="C503" s="21"/>
      <c r="G503" s="16"/>
    </row>
    <row r="504" ht="15.75" customHeight="1">
      <c r="C504" s="21"/>
      <c r="G504" s="16"/>
    </row>
    <row r="505" ht="15.75" customHeight="1">
      <c r="C505" s="21"/>
      <c r="G505" s="16"/>
    </row>
    <row r="506" ht="15.75" customHeight="1">
      <c r="C506" s="21"/>
      <c r="G506" s="16"/>
    </row>
    <row r="507" ht="15.75" customHeight="1">
      <c r="C507" s="21"/>
      <c r="G507" s="16"/>
    </row>
    <row r="508" ht="15.75" customHeight="1">
      <c r="C508" s="21"/>
      <c r="G508" s="16"/>
    </row>
    <row r="509" ht="15.75" customHeight="1">
      <c r="C509" s="21"/>
      <c r="G509" s="16"/>
    </row>
    <row r="510" ht="15.75" customHeight="1">
      <c r="C510" s="21"/>
      <c r="G510" s="16"/>
    </row>
    <row r="511" ht="15.75" customHeight="1">
      <c r="C511" s="21"/>
      <c r="G511" s="16"/>
    </row>
    <row r="512" ht="15.75" customHeight="1">
      <c r="C512" s="21"/>
      <c r="G512" s="16"/>
    </row>
    <row r="513" ht="15.75" customHeight="1">
      <c r="C513" s="21"/>
      <c r="G513" s="16"/>
    </row>
    <row r="514" ht="15.75" customHeight="1">
      <c r="C514" s="21"/>
      <c r="G514" s="16"/>
    </row>
    <row r="515" ht="15.75" customHeight="1">
      <c r="C515" s="21"/>
      <c r="G515" s="16"/>
    </row>
    <row r="516" ht="15.75" customHeight="1">
      <c r="C516" s="21"/>
      <c r="G516" s="16"/>
    </row>
    <row r="517" ht="15.75" customHeight="1">
      <c r="C517" s="21"/>
      <c r="G517" s="16"/>
    </row>
    <row r="518" ht="15.75" customHeight="1">
      <c r="C518" s="21"/>
      <c r="G518" s="16"/>
    </row>
    <row r="519" ht="15.75" customHeight="1">
      <c r="C519" s="21"/>
      <c r="G519" s="16"/>
    </row>
    <row r="520" ht="15.75" customHeight="1">
      <c r="C520" s="21"/>
      <c r="G520" s="16"/>
    </row>
    <row r="521" ht="15.75" customHeight="1">
      <c r="C521" s="21"/>
      <c r="G521" s="16"/>
    </row>
    <row r="522" ht="15.75" customHeight="1">
      <c r="C522" s="21"/>
      <c r="G522" s="16"/>
    </row>
    <row r="523" ht="15.75" customHeight="1">
      <c r="C523" s="21"/>
      <c r="G523" s="16"/>
    </row>
    <row r="524" ht="15.75" customHeight="1">
      <c r="C524" s="21"/>
      <c r="G524" s="16"/>
    </row>
    <row r="525" ht="15.75" customHeight="1">
      <c r="C525" s="21"/>
      <c r="G525" s="16"/>
    </row>
    <row r="526" ht="15.75" customHeight="1">
      <c r="C526" s="21"/>
      <c r="G526" s="16"/>
    </row>
    <row r="527" ht="15.75" customHeight="1">
      <c r="C527" s="21"/>
      <c r="G527" s="16"/>
    </row>
    <row r="528" ht="15.75" customHeight="1">
      <c r="C528" s="21"/>
      <c r="G528" s="16"/>
    </row>
    <row r="529" ht="15.75" customHeight="1">
      <c r="C529" s="21"/>
      <c r="G529" s="16"/>
    </row>
    <row r="530" ht="15.75" customHeight="1">
      <c r="C530" s="21"/>
      <c r="G530" s="16"/>
    </row>
    <row r="531" ht="15.75" customHeight="1">
      <c r="C531" s="21"/>
      <c r="G531" s="16"/>
    </row>
    <row r="532" ht="15.75" customHeight="1">
      <c r="C532" s="21"/>
      <c r="G532" s="16"/>
    </row>
    <row r="533" ht="15.75" customHeight="1">
      <c r="C533" s="21"/>
      <c r="G533" s="16"/>
    </row>
    <row r="534" ht="15.75" customHeight="1">
      <c r="C534" s="21"/>
      <c r="G534" s="16"/>
    </row>
    <row r="535" ht="15.75" customHeight="1">
      <c r="C535" s="21"/>
      <c r="G535" s="16"/>
    </row>
    <row r="536" ht="15.75" customHeight="1">
      <c r="C536" s="21"/>
      <c r="G536" s="16"/>
    </row>
    <row r="537" ht="15.75" customHeight="1">
      <c r="C537" s="21"/>
      <c r="G537" s="16"/>
    </row>
    <row r="538" ht="15.75" customHeight="1">
      <c r="C538" s="21"/>
      <c r="G538" s="16"/>
    </row>
    <row r="539" ht="15.75" customHeight="1">
      <c r="C539" s="21"/>
      <c r="G539" s="16"/>
    </row>
    <row r="540" ht="15.75" customHeight="1">
      <c r="C540" s="21"/>
      <c r="G540" s="16"/>
    </row>
    <row r="541" ht="15.75" customHeight="1">
      <c r="C541" s="21"/>
      <c r="G541" s="16"/>
    </row>
    <row r="542" ht="15.75" customHeight="1">
      <c r="C542" s="21"/>
      <c r="G542" s="16"/>
    </row>
    <row r="543" ht="15.75" customHeight="1">
      <c r="C543" s="21"/>
      <c r="G543" s="16"/>
    </row>
    <row r="544" ht="15.75" customHeight="1">
      <c r="C544" s="21"/>
      <c r="G544" s="16"/>
    </row>
    <row r="545" ht="15.75" customHeight="1">
      <c r="C545" s="21"/>
      <c r="G545" s="16"/>
    </row>
    <row r="546" ht="15.75" customHeight="1">
      <c r="C546" s="21"/>
      <c r="G546" s="16"/>
    </row>
    <row r="547" ht="15.75" customHeight="1">
      <c r="C547" s="21"/>
      <c r="G547" s="16"/>
    </row>
    <row r="548" ht="15.75" customHeight="1">
      <c r="C548" s="21"/>
      <c r="G548" s="16"/>
    </row>
    <row r="549" ht="15.75" customHeight="1">
      <c r="C549" s="21"/>
      <c r="G549" s="16"/>
    </row>
    <row r="550" ht="15.75" customHeight="1">
      <c r="C550" s="21"/>
      <c r="G550" s="16"/>
    </row>
    <row r="551" ht="15.75" customHeight="1">
      <c r="C551" s="21"/>
      <c r="G551" s="16"/>
    </row>
    <row r="552" ht="15.75" customHeight="1">
      <c r="C552" s="21"/>
      <c r="G552" s="16"/>
    </row>
    <row r="553" ht="15.75" customHeight="1">
      <c r="C553" s="21"/>
      <c r="G553" s="16"/>
    </row>
    <row r="554" ht="15.75" customHeight="1">
      <c r="C554" s="21"/>
      <c r="G554" s="16"/>
    </row>
    <row r="555" ht="15.75" customHeight="1">
      <c r="C555" s="21"/>
      <c r="G555" s="16"/>
    </row>
    <row r="556" ht="15.75" customHeight="1">
      <c r="C556" s="21"/>
      <c r="G556" s="16"/>
    </row>
    <row r="557" ht="15.75" customHeight="1">
      <c r="C557" s="21"/>
      <c r="G557" s="16"/>
    </row>
    <row r="558" ht="15.75" customHeight="1">
      <c r="C558" s="21"/>
      <c r="G558" s="16"/>
    </row>
    <row r="559" ht="15.75" customHeight="1">
      <c r="C559" s="21"/>
      <c r="G559" s="16"/>
    </row>
    <row r="560" ht="15.75" customHeight="1">
      <c r="C560" s="21"/>
      <c r="G560" s="16"/>
    </row>
    <row r="561" ht="15.75" customHeight="1">
      <c r="C561" s="21"/>
      <c r="G561" s="16"/>
    </row>
    <row r="562" ht="15.75" customHeight="1">
      <c r="C562" s="21"/>
      <c r="G562" s="16"/>
    </row>
    <row r="563" ht="15.75" customHeight="1">
      <c r="C563" s="21"/>
      <c r="G563" s="16"/>
    </row>
    <row r="564" ht="15.75" customHeight="1">
      <c r="C564" s="21"/>
      <c r="G564" s="16"/>
    </row>
    <row r="565" ht="15.75" customHeight="1">
      <c r="C565" s="21"/>
      <c r="G565" s="16"/>
    </row>
    <row r="566" ht="15.75" customHeight="1">
      <c r="C566" s="21"/>
      <c r="G566" s="16"/>
    </row>
    <row r="567" ht="15.75" customHeight="1">
      <c r="C567" s="21"/>
      <c r="G567" s="16"/>
    </row>
    <row r="568" ht="15.75" customHeight="1">
      <c r="C568" s="21"/>
      <c r="G568" s="16"/>
    </row>
    <row r="569" ht="15.75" customHeight="1">
      <c r="C569" s="21"/>
      <c r="G569" s="16"/>
    </row>
    <row r="570" ht="15.75" customHeight="1">
      <c r="C570" s="21"/>
      <c r="G570" s="16"/>
    </row>
    <row r="571" ht="15.75" customHeight="1">
      <c r="C571" s="21"/>
      <c r="G571" s="16"/>
    </row>
    <row r="572" ht="15.75" customHeight="1">
      <c r="C572" s="21"/>
      <c r="G572" s="16"/>
    </row>
    <row r="573" ht="15.75" customHeight="1">
      <c r="C573" s="21"/>
      <c r="G573" s="16"/>
    </row>
    <row r="574" ht="15.75" customHeight="1">
      <c r="C574" s="21"/>
      <c r="G574" s="16"/>
    </row>
    <row r="575" ht="15.75" customHeight="1">
      <c r="C575" s="21"/>
      <c r="G575" s="16"/>
    </row>
    <row r="576" ht="15.75" customHeight="1">
      <c r="C576" s="21"/>
      <c r="G576" s="16"/>
    </row>
    <row r="577" ht="15.75" customHeight="1">
      <c r="C577" s="21"/>
      <c r="G577" s="16"/>
    </row>
    <row r="578" ht="15.75" customHeight="1">
      <c r="C578" s="21"/>
      <c r="G578" s="16"/>
    </row>
    <row r="579" ht="15.75" customHeight="1">
      <c r="C579" s="21"/>
      <c r="G579" s="16"/>
    </row>
    <row r="580" ht="15.75" customHeight="1">
      <c r="C580" s="21"/>
      <c r="G580" s="16"/>
    </row>
    <row r="581" ht="15.75" customHeight="1">
      <c r="C581" s="21"/>
      <c r="G581" s="16"/>
    </row>
    <row r="582" ht="15.75" customHeight="1">
      <c r="C582" s="21"/>
      <c r="G582" s="16"/>
    </row>
    <row r="583" ht="15.75" customHeight="1">
      <c r="C583" s="21"/>
      <c r="G583" s="16"/>
    </row>
    <row r="584" ht="15.75" customHeight="1">
      <c r="C584" s="21"/>
      <c r="G584" s="16"/>
    </row>
    <row r="585" ht="15.75" customHeight="1">
      <c r="C585" s="21"/>
      <c r="G585" s="16"/>
    </row>
    <row r="586" ht="15.75" customHeight="1">
      <c r="C586" s="21"/>
      <c r="G586" s="16"/>
    </row>
    <row r="587" ht="15.75" customHeight="1">
      <c r="C587" s="21"/>
      <c r="G587" s="16"/>
    </row>
    <row r="588" ht="15.75" customHeight="1">
      <c r="C588" s="21"/>
      <c r="G588" s="16"/>
    </row>
    <row r="589" ht="15.75" customHeight="1">
      <c r="C589" s="21"/>
      <c r="G589" s="16"/>
    </row>
    <row r="590" ht="15.75" customHeight="1">
      <c r="C590" s="21"/>
      <c r="G590" s="16"/>
    </row>
    <row r="591" ht="15.75" customHeight="1">
      <c r="C591" s="21"/>
      <c r="G591" s="16"/>
    </row>
    <row r="592" ht="15.75" customHeight="1">
      <c r="C592" s="21"/>
      <c r="G592" s="16"/>
    </row>
    <row r="593" ht="15.75" customHeight="1">
      <c r="C593" s="21"/>
      <c r="G593" s="16"/>
    </row>
    <row r="594" ht="15.75" customHeight="1">
      <c r="C594" s="21"/>
      <c r="G594" s="16"/>
    </row>
    <row r="595" ht="15.75" customHeight="1">
      <c r="C595" s="21"/>
      <c r="G595" s="16"/>
    </row>
    <row r="596" ht="15.75" customHeight="1">
      <c r="C596" s="21"/>
      <c r="G596" s="16"/>
    </row>
    <row r="597" ht="15.75" customHeight="1">
      <c r="C597" s="21"/>
      <c r="G597" s="16"/>
    </row>
    <row r="598" ht="15.75" customHeight="1">
      <c r="C598" s="21"/>
      <c r="G598" s="16"/>
    </row>
    <row r="599" ht="15.75" customHeight="1">
      <c r="C599" s="21"/>
      <c r="G599" s="16"/>
    </row>
    <row r="600" ht="15.75" customHeight="1">
      <c r="C600" s="21"/>
      <c r="G600" s="16"/>
    </row>
    <row r="601" ht="15.75" customHeight="1">
      <c r="C601" s="21"/>
      <c r="G601" s="16"/>
    </row>
    <row r="602" ht="15.75" customHeight="1">
      <c r="C602" s="21"/>
      <c r="G602" s="16"/>
    </row>
    <row r="603" ht="15.75" customHeight="1">
      <c r="C603" s="21"/>
      <c r="G603" s="16"/>
    </row>
    <row r="604" ht="15.75" customHeight="1">
      <c r="C604" s="21"/>
      <c r="G604" s="16"/>
    </row>
    <row r="605" ht="15.75" customHeight="1">
      <c r="C605" s="21"/>
      <c r="G605" s="16"/>
    </row>
    <row r="606" ht="15.75" customHeight="1">
      <c r="C606" s="21"/>
      <c r="G606" s="16"/>
    </row>
    <row r="607" ht="15.75" customHeight="1">
      <c r="C607" s="21"/>
      <c r="G607" s="16"/>
    </row>
    <row r="608" ht="15.75" customHeight="1">
      <c r="C608" s="21"/>
      <c r="G608" s="16"/>
    </row>
    <row r="609" ht="15.75" customHeight="1">
      <c r="C609" s="21"/>
      <c r="G609" s="16"/>
    </row>
    <row r="610" ht="15.75" customHeight="1">
      <c r="C610" s="21"/>
      <c r="G610" s="16"/>
    </row>
    <row r="611" ht="15.75" customHeight="1">
      <c r="C611" s="21"/>
      <c r="G611" s="16"/>
    </row>
    <row r="612" ht="15.75" customHeight="1">
      <c r="C612" s="21"/>
      <c r="G612" s="16"/>
    </row>
    <row r="613" ht="15.75" customHeight="1">
      <c r="C613" s="21"/>
      <c r="G613" s="16"/>
    </row>
    <row r="614" ht="15.75" customHeight="1">
      <c r="C614" s="21"/>
      <c r="G614" s="16"/>
    </row>
    <row r="615" ht="15.75" customHeight="1">
      <c r="C615" s="21"/>
      <c r="G615" s="16"/>
    </row>
    <row r="616" ht="15.75" customHeight="1">
      <c r="C616" s="21"/>
      <c r="G616" s="16"/>
    </row>
    <row r="617" ht="15.75" customHeight="1">
      <c r="C617" s="21"/>
      <c r="G617" s="16"/>
    </row>
    <row r="618" ht="15.75" customHeight="1">
      <c r="C618" s="21"/>
      <c r="G618" s="16"/>
    </row>
    <row r="619" ht="15.75" customHeight="1">
      <c r="C619" s="21"/>
      <c r="G619" s="16"/>
    </row>
    <row r="620" ht="15.75" customHeight="1">
      <c r="C620" s="21"/>
      <c r="G620" s="16"/>
    </row>
    <row r="621" ht="15.75" customHeight="1">
      <c r="C621" s="21"/>
      <c r="G621" s="16"/>
    </row>
    <row r="622" ht="15.75" customHeight="1">
      <c r="C622" s="21"/>
      <c r="G622" s="16"/>
    </row>
    <row r="623" ht="15.75" customHeight="1">
      <c r="C623" s="21"/>
      <c r="G623" s="16"/>
    </row>
    <row r="624" ht="15.75" customHeight="1">
      <c r="C624" s="21"/>
      <c r="G624" s="16"/>
    </row>
    <row r="625" ht="15.75" customHeight="1">
      <c r="C625" s="21"/>
      <c r="G625" s="16"/>
    </row>
    <row r="626" ht="15.75" customHeight="1">
      <c r="C626" s="21"/>
      <c r="G626" s="16"/>
    </row>
    <row r="627" ht="15.75" customHeight="1">
      <c r="C627" s="21"/>
      <c r="G627" s="16"/>
    </row>
    <row r="628" ht="15.75" customHeight="1">
      <c r="C628" s="21"/>
      <c r="G628" s="16"/>
    </row>
    <row r="629" ht="15.75" customHeight="1">
      <c r="C629" s="21"/>
      <c r="G629" s="16"/>
    </row>
    <row r="630" ht="15.75" customHeight="1">
      <c r="C630" s="21"/>
      <c r="G630" s="16"/>
    </row>
    <row r="631" ht="15.75" customHeight="1">
      <c r="C631" s="21"/>
      <c r="G631" s="16"/>
    </row>
    <row r="632" ht="15.75" customHeight="1">
      <c r="C632" s="21"/>
      <c r="G632" s="16"/>
    </row>
    <row r="633" ht="15.75" customHeight="1">
      <c r="C633" s="21"/>
      <c r="G633" s="16"/>
    </row>
    <row r="634" ht="15.75" customHeight="1">
      <c r="C634" s="21"/>
      <c r="G634" s="16"/>
    </row>
    <row r="635" ht="15.75" customHeight="1">
      <c r="C635" s="21"/>
      <c r="G635" s="16"/>
    </row>
    <row r="636" ht="15.75" customHeight="1">
      <c r="C636" s="21"/>
      <c r="G636" s="16"/>
    </row>
    <row r="637" ht="15.75" customHeight="1">
      <c r="C637" s="21"/>
      <c r="G637" s="16"/>
    </row>
    <row r="638" ht="15.75" customHeight="1">
      <c r="C638" s="21"/>
      <c r="G638" s="16"/>
    </row>
    <row r="639" ht="15.75" customHeight="1">
      <c r="C639" s="21"/>
      <c r="G639" s="16"/>
    </row>
    <row r="640" ht="15.75" customHeight="1">
      <c r="C640" s="21"/>
      <c r="G640" s="16"/>
    </row>
    <row r="641" ht="15.75" customHeight="1">
      <c r="C641" s="21"/>
      <c r="G641" s="16"/>
    </row>
    <row r="642" ht="15.75" customHeight="1">
      <c r="C642" s="21"/>
      <c r="G642" s="16"/>
    </row>
    <row r="643" ht="15.75" customHeight="1">
      <c r="C643" s="21"/>
      <c r="G643" s="16"/>
    </row>
    <row r="644" ht="15.75" customHeight="1">
      <c r="C644" s="21"/>
      <c r="G644" s="16"/>
    </row>
    <row r="645" ht="15.75" customHeight="1">
      <c r="C645" s="21"/>
      <c r="G645" s="16"/>
    </row>
    <row r="646" ht="15.75" customHeight="1">
      <c r="C646" s="21"/>
      <c r="G646" s="16"/>
    </row>
    <row r="647" ht="15.75" customHeight="1">
      <c r="C647" s="21"/>
      <c r="G647" s="16"/>
    </row>
    <row r="648" ht="15.75" customHeight="1">
      <c r="C648" s="21"/>
      <c r="G648" s="16"/>
    </row>
    <row r="649" ht="15.75" customHeight="1">
      <c r="C649" s="21"/>
      <c r="G649" s="16"/>
    </row>
    <row r="650" ht="15.75" customHeight="1">
      <c r="C650" s="21"/>
      <c r="G650" s="16"/>
    </row>
    <row r="651" ht="15.75" customHeight="1">
      <c r="C651" s="21"/>
      <c r="G651" s="16"/>
    </row>
    <row r="652" ht="15.75" customHeight="1">
      <c r="C652" s="21"/>
      <c r="G652" s="16"/>
    </row>
    <row r="653" ht="15.75" customHeight="1">
      <c r="C653" s="21"/>
      <c r="G653" s="16"/>
    </row>
    <row r="654" ht="15.75" customHeight="1">
      <c r="C654" s="21"/>
      <c r="G654" s="16"/>
    </row>
    <row r="655" ht="15.75" customHeight="1">
      <c r="C655" s="21"/>
      <c r="G655" s="16"/>
    </row>
    <row r="656" ht="15.75" customHeight="1">
      <c r="C656" s="21"/>
      <c r="G656" s="16"/>
    </row>
    <row r="657" ht="15.75" customHeight="1">
      <c r="C657" s="21"/>
      <c r="G657" s="16"/>
    </row>
    <row r="658" ht="15.75" customHeight="1">
      <c r="C658" s="21"/>
      <c r="G658" s="16"/>
    </row>
    <row r="659" ht="15.75" customHeight="1">
      <c r="C659" s="21"/>
      <c r="G659" s="16"/>
    </row>
    <row r="660" ht="15.75" customHeight="1">
      <c r="C660" s="21"/>
      <c r="G660" s="16"/>
    </row>
    <row r="661" ht="15.75" customHeight="1">
      <c r="C661" s="21"/>
      <c r="G661" s="16"/>
    </row>
    <row r="662" ht="15.75" customHeight="1">
      <c r="C662" s="21"/>
      <c r="G662" s="16"/>
    </row>
    <row r="663" ht="15.75" customHeight="1">
      <c r="C663" s="21"/>
      <c r="G663" s="16"/>
    </row>
    <row r="664" ht="15.75" customHeight="1">
      <c r="C664" s="21"/>
      <c r="G664" s="16"/>
    </row>
    <row r="665" ht="15.75" customHeight="1">
      <c r="C665" s="21"/>
      <c r="G665" s="16"/>
    </row>
    <row r="666" ht="15.75" customHeight="1">
      <c r="C666" s="21"/>
      <c r="G666" s="16"/>
    </row>
    <row r="667" ht="15.75" customHeight="1">
      <c r="C667" s="21"/>
      <c r="G667" s="16"/>
    </row>
    <row r="668" ht="15.75" customHeight="1">
      <c r="C668" s="21"/>
      <c r="G668" s="16"/>
    </row>
    <row r="669" ht="15.75" customHeight="1">
      <c r="C669" s="21"/>
      <c r="G669" s="16"/>
    </row>
    <row r="670" ht="15.75" customHeight="1">
      <c r="C670" s="21"/>
      <c r="G670" s="16"/>
    </row>
    <row r="671" ht="15.75" customHeight="1">
      <c r="C671" s="21"/>
      <c r="G671" s="16"/>
    </row>
    <row r="672" ht="15.75" customHeight="1">
      <c r="C672" s="21"/>
      <c r="G672" s="16"/>
    </row>
    <row r="673" ht="15.75" customHeight="1">
      <c r="C673" s="21"/>
      <c r="G673" s="16"/>
    </row>
    <row r="674" ht="15.75" customHeight="1">
      <c r="C674" s="21"/>
      <c r="G674" s="16"/>
    </row>
    <row r="675" ht="15.75" customHeight="1">
      <c r="C675" s="21"/>
      <c r="G675" s="16"/>
    </row>
    <row r="676" ht="15.75" customHeight="1">
      <c r="C676" s="21"/>
      <c r="G676" s="16"/>
    </row>
    <row r="677" ht="15.75" customHeight="1">
      <c r="C677" s="21"/>
      <c r="G677" s="16"/>
    </row>
    <row r="678" ht="15.75" customHeight="1">
      <c r="C678" s="21"/>
      <c r="G678" s="16"/>
    </row>
    <row r="679" ht="15.75" customHeight="1">
      <c r="C679" s="21"/>
      <c r="G679" s="16"/>
    </row>
    <row r="680" ht="15.75" customHeight="1">
      <c r="C680" s="21"/>
      <c r="G680" s="16"/>
    </row>
    <row r="681" ht="15.75" customHeight="1">
      <c r="C681" s="21"/>
      <c r="G681" s="16"/>
    </row>
    <row r="682" ht="15.75" customHeight="1">
      <c r="C682" s="21"/>
      <c r="G682" s="16"/>
    </row>
    <row r="683" ht="15.75" customHeight="1">
      <c r="C683" s="21"/>
      <c r="G683" s="16"/>
    </row>
    <row r="684" ht="15.75" customHeight="1">
      <c r="C684" s="21"/>
      <c r="G684" s="16"/>
    </row>
    <row r="685" ht="15.75" customHeight="1">
      <c r="C685" s="21"/>
      <c r="G685" s="16"/>
    </row>
    <row r="686" ht="15.75" customHeight="1">
      <c r="C686" s="21"/>
      <c r="G686" s="16"/>
    </row>
    <row r="687" ht="15.75" customHeight="1">
      <c r="C687" s="21"/>
      <c r="G687" s="16"/>
    </row>
    <row r="688" ht="15.75" customHeight="1">
      <c r="C688" s="21"/>
      <c r="G688" s="16"/>
    </row>
    <row r="689" ht="15.75" customHeight="1">
      <c r="C689" s="21"/>
      <c r="G689" s="16"/>
    </row>
    <row r="690" ht="15.75" customHeight="1">
      <c r="C690" s="21"/>
      <c r="G690" s="16"/>
    </row>
    <row r="691" ht="15.75" customHeight="1">
      <c r="C691" s="21"/>
      <c r="G691" s="16"/>
    </row>
    <row r="692" ht="15.75" customHeight="1">
      <c r="C692" s="21"/>
      <c r="G692" s="16"/>
    </row>
    <row r="693" ht="15.75" customHeight="1">
      <c r="C693" s="21"/>
      <c r="G693" s="16"/>
    </row>
    <row r="694" ht="15.75" customHeight="1">
      <c r="C694" s="21"/>
      <c r="G694" s="16"/>
    </row>
    <row r="695" ht="15.75" customHeight="1">
      <c r="C695" s="21"/>
      <c r="G695" s="16"/>
    </row>
    <row r="696" ht="15.75" customHeight="1">
      <c r="C696" s="21"/>
      <c r="G696" s="16"/>
    </row>
    <row r="697" ht="15.75" customHeight="1">
      <c r="C697" s="21"/>
      <c r="G697" s="16"/>
    </row>
    <row r="698" ht="15.75" customHeight="1">
      <c r="C698" s="21"/>
      <c r="G698" s="16"/>
    </row>
    <row r="699" ht="15.75" customHeight="1">
      <c r="C699" s="21"/>
      <c r="G699" s="16"/>
    </row>
    <row r="700" ht="15.75" customHeight="1">
      <c r="C700" s="21"/>
      <c r="G700" s="16"/>
    </row>
    <row r="701" ht="15.75" customHeight="1">
      <c r="C701" s="21"/>
      <c r="G701" s="16"/>
    </row>
    <row r="702" ht="15.75" customHeight="1">
      <c r="C702" s="21"/>
      <c r="G702" s="16"/>
    </row>
    <row r="703" ht="15.75" customHeight="1">
      <c r="C703" s="21"/>
      <c r="G703" s="16"/>
    </row>
    <row r="704" ht="15.75" customHeight="1">
      <c r="C704" s="21"/>
      <c r="G704" s="16"/>
    </row>
    <row r="705" ht="15.75" customHeight="1">
      <c r="C705" s="21"/>
      <c r="G705" s="16"/>
    </row>
    <row r="706" ht="15.75" customHeight="1">
      <c r="C706" s="21"/>
      <c r="G706" s="16"/>
    </row>
    <row r="707" ht="15.75" customHeight="1">
      <c r="C707" s="21"/>
      <c r="G707" s="16"/>
    </row>
    <row r="708" ht="15.75" customHeight="1">
      <c r="C708" s="21"/>
      <c r="G708" s="16"/>
    </row>
    <row r="709" ht="15.75" customHeight="1">
      <c r="C709" s="21"/>
      <c r="G709" s="16"/>
    </row>
    <row r="710" ht="15.75" customHeight="1">
      <c r="C710" s="21"/>
      <c r="G710" s="16"/>
    </row>
    <row r="711" ht="15.75" customHeight="1">
      <c r="C711" s="21"/>
      <c r="G711" s="16"/>
    </row>
    <row r="712" ht="15.75" customHeight="1">
      <c r="C712" s="21"/>
      <c r="G712" s="16"/>
    </row>
    <row r="713" ht="15.75" customHeight="1">
      <c r="C713" s="21"/>
      <c r="G713" s="16"/>
    </row>
    <row r="714" ht="15.75" customHeight="1">
      <c r="C714" s="21"/>
      <c r="G714" s="16"/>
    </row>
    <row r="715" ht="15.75" customHeight="1">
      <c r="C715" s="21"/>
      <c r="G715" s="16"/>
    </row>
    <row r="716" ht="15.75" customHeight="1">
      <c r="C716" s="21"/>
      <c r="G716" s="16"/>
    </row>
    <row r="717" ht="15.75" customHeight="1">
      <c r="C717" s="21"/>
      <c r="G717" s="16"/>
    </row>
    <row r="718" ht="15.75" customHeight="1">
      <c r="C718" s="21"/>
      <c r="G718" s="16"/>
    </row>
    <row r="719" ht="15.75" customHeight="1">
      <c r="C719" s="21"/>
      <c r="G719" s="16"/>
    </row>
    <row r="720" ht="15.75" customHeight="1">
      <c r="C720" s="21"/>
      <c r="G720" s="16"/>
    </row>
    <row r="721" ht="15.75" customHeight="1">
      <c r="C721" s="21"/>
      <c r="G721" s="16"/>
    </row>
    <row r="722" ht="15.75" customHeight="1">
      <c r="C722" s="21"/>
      <c r="G722" s="16"/>
    </row>
    <row r="723" ht="15.75" customHeight="1">
      <c r="C723" s="21"/>
      <c r="G723" s="16"/>
    </row>
    <row r="724" ht="15.75" customHeight="1">
      <c r="C724" s="21"/>
      <c r="G724" s="16"/>
    </row>
    <row r="725" ht="15.75" customHeight="1">
      <c r="C725" s="21"/>
      <c r="G725" s="16"/>
    </row>
    <row r="726" ht="15.75" customHeight="1">
      <c r="C726" s="21"/>
      <c r="G726" s="16"/>
    </row>
    <row r="727" ht="15.75" customHeight="1">
      <c r="C727" s="21"/>
      <c r="G727" s="16"/>
    </row>
    <row r="728" ht="15.75" customHeight="1">
      <c r="C728" s="21"/>
      <c r="G728" s="16"/>
    </row>
    <row r="729" ht="15.75" customHeight="1">
      <c r="C729" s="21"/>
      <c r="G729" s="16"/>
    </row>
    <row r="730" ht="15.75" customHeight="1">
      <c r="C730" s="21"/>
      <c r="G730" s="16"/>
    </row>
    <row r="731" ht="15.75" customHeight="1">
      <c r="C731" s="21"/>
      <c r="G731" s="16"/>
    </row>
    <row r="732" ht="15.75" customHeight="1">
      <c r="C732" s="21"/>
      <c r="G732" s="16"/>
    </row>
    <row r="733" ht="15.75" customHeight="1">
      <c r="C733" s="21"/>
      <c r="G733" s="16"/>
    </row>
    <row r="734" ht="15.75" customHeight="1">
      <c r="C734" s="21"/>
      <c r="G734" s="16"/>
    </row>
    <row r="735" ht="15.75" customHeight="1">
      <c r="C735" s="21"/>
      <c r="G735" s="16"/>
    </row>
    <row r="736" ht="15.75" customHeight="1">
      <c r="C736" s="21"/>
      <c r="G736" s="16"/>
    </row>
    <row r="737" ht="15.75" customHeight="1">
      <c r="C737" s="21"/>
      <c r="G737" s="16"/>
    </row>
    <row r="738" ht="15.75" customHeight="1">
      <c r="C738" s="21"/>
      <c r="G738" s="16"/>
    </row>
    <row r="739" ht="15.75" customHeight="1">
      <c r="C739" s="21"/>
      <c r="G739" s="16"/>
    </row>
    <row r="740" ht="15.75" customHeight="1">
      <c r="C740" s="21"/>
      <c r="G740" s="16"/>
    </row>
    <row r="741" ht="15.75" customHeight="1">
      <c r="C741" s="21"/>
      <c r="G741" s="16"/>
    </row>
    <row r="742" ht="15.75" customHeight="1">
      <c r="C742" s="21"/>
      <c r="G742" s="16"/>
    </row>
    <row r="743" ht="15.75" customHeight="1">
      <c r="C743" s="21"/>
      <c r="G743" s="16"/>
    </row>
    <row r="744" ht="15.75" customHeight="1">
      <c r="C744" s="21"/>
      <c r="G744" s="16"/>
    </row>
    <row r="745" ht="15.75" customHeight="1">
      <c r="C745" s="21"/>
      <c r="G745" s="16"/>
    </row>
    <row r="746" ht="15.75" customHeight="1">
      <c r="C746" s="21"/>
      <c r="G746" s="16"/>
    </row>
    <row r="747" ht="15.75" customHeight="1">
      <c r="C747" s="21"/>
      <c r="G747" s="16"/>
    </row>
    <row r="748" ht="15.75" customHeight="1">
      <c r="C748" s="21"/>
      <c r="G748" s="16"/>
    </row>
    <row r="749" ht="15.75" customHeight="1">
      <c r="C749" s="21"/>
      <c r="G749" s="16"/>
    </row>
    <row r="750" ht="15.75" customHeight="1">
      <c r="C750" s="21"/>
      <c r="G750" s="16"/>
    </row>
    <row r="751" ht="15.75" customHeight="1">
      <c r="C751" s="21"/>
      <c r="G751" s="16"/>
    </row>
    <row r="752" ht="15.75" customHeight="1">
      <c r="C752" s="21"/>
      <c r="G752" s="16"/>
    </row>
    <row r="753" ht="15.75" customHeight="1">
      <c r="C753" s="21"/>
      <c r="G753" s="16"/>
    </row>
    <row r="754" ht="15.75" customHeight="1">
      <c r="C754" s="21"/>
      <c r="G754" s="16"/>
    </row>
    <row r="755" ht="15.75" customHeight="1">
      <c r="C755" s="21"/>
      <c r="G755" s="16"/>
    </row>
    <row r="756" ht="15.75" customHeight="1">
      <c r="C756" s="21"/>
      <c r="G756" s="16"/>
    </row>
    <row r="757" ht="15.75" customHeight="1">
      <c r="C757" s="21"/>
      <c r="G757" s="16"/>
    </row>
    <row r="758" ht="15.75" customHeight="1">
      <c r="C758" s="21"/>
      <c r="G758" s="16"/>
    </row>
    <row r="759" ht="15.75" customHeight="1">
      <c r="C759" s="21"/>
      <c r="G759" s="16"/>
    </row>
    <row r="760" ht="15.75" customHeight="1">
      <c r="C760" s="21"/>
      <c r="G760" s="16"/>
    </row>
    <row r="761" ht="15.75" customHeight="1">
      <c r="C761" s="21"/>
      <c r="G761" s="16"/>
    </row>
    <row r="762" ht="15.75" customHeight="1">
      <c r="C762" s="21"/>
      <c r="G762" s="16"/>
    </row>
    <row r="763" ht="15.75" customHeight="1">
      <c r="C763" s="21"/>
      <c r="G763" s="16"/>
    </row>
    <row r="764" ht="15.75" customHeight="1">
      <c r="C764" s="21"/>
      <c r="G764" s="16"/>
    </row>
    <row r="765" ht="15.75" customHeight="1">
      <c r="C765" s="21"/>
      <c r="G765" s="16"/>
    </row>
    <row r="766" ht="15.75" customHeight="1">
      <c r="C766" s="21"/>
      <c r="G766" s="16"/>
    </row>
    <row r="767" ht="15.75" customHeight="1">
      <c r="C767" s="21"/>
      <c r="G767" s="16"/>
    </row>
    <row r="768" ht="15.75" customHeight="1">
      <c r="C768" s="21"/>
      <c r="G768" s="16"/>
    </row>
    <row r="769" ht="15.75" customHeight="1">
      <c r="C769" s="21"/>
      <c r="G769" s="16"/>
    </row>
    <row r="770" ht="15.75" customHeight="1">
      <c r="C770" s="21"/>
      <c r="G770" s="16"/>
    </row>
    <row r="771" ht="15.75" customHeight="1">
      <c r="C771" s="21"/>
      <c r="G771" s="16"/>
    </row>
    <row r="772" ht="15.75" customHeight="1">
      <c r="C772" s="21"/>
      <c r="G772" s="16"/>
    </row>
    <row r="773" ht="15.75" customHeight="1">
      <c r="C773" s="21"/>
      <c r="G773" s="16"/>
    </row>
    <row r="774" ht="15.75" customHeight="1">
      <c r="C774" s="21"/>
      <c r="G774" s="16"/>
    </row>
    <row r="775" ht="15.75" customHeight="1">
      <c r="C775" s="21"/>
      <c r="G775" s="16"/>
    </row>
    <row r="776" ht="15.75" customHeight="1">
      <c r="C776" s="21"/>
      <c r="G776" s="16"/>
    </row>
    <row r="777" ht="15.75" customHeight="1">
      <c r="C777" s="21"/>
      <c r="G777" s="16"/>
    </row>
    <row r="778" ht="15.75" customHeight="1">
      <c r="C778" s="21"/>
      <c r="G778" s="16"/>
    </row>
    <row r="779" ht="15.75" customHeight="1">
      <c r="C779" s="21"/>
      <c r="G779" s="16"/>
    </row>
    <row r="780" ht="15.75" customHeight="1">
      <c r="C780" s="21"/>
      <c r="G780" s="16"/>
    </row>
    <row r="781" ht="15.75" customHeight="1">
      <c r="C781" s="21"/>
      <c r="G781" s="16"/>
    </row>
    <row r="782" ht="15.75" customHeight="1">
      <c r="C782" s="21"/>
      <c r="G782" s="16"/>
    </row>
    <row r="783" ht="15.75" customHeight="1">
      <c r="C783" s="21"/>
      <c r="G783" s="16"/>
    </row>
    <row r="784" ht="15.75" customHeight="1">
      <c r="C784" s="21"/>
      <c r="G784" s="16"/>
    </row>
    <row r="785" ht="15.75" customHeight="1">
      <c r="C785" s="21"/>
      <c r="G785" s="16"/>
    </row>
    <row r="786" ht="15.75" customHeight="1">
      <c r="C786" s="21"/>
      <c r="G786" s="16"/>
    </row>
    <row r="787" ht="15.75" customHeight="1">
      <c r="C787" s="21"/>
      <c r="G787" s="16"/>
    </row>
    <row r="788" ht="15.75" customHeight="1">
      <c r="C788" s="21"/>
      <c r="G788" s="16"/>
    </row>
    <row r="789" ht="15.75" customHeight="1">
      <c r="C789" s="21"/>
      <c r="G789" s="16"/>
    </row>
    <row r="790" ht="15.75" customHeight="1">
      <c r="C790" s="21"/>
      <c r="G790" s="16"/>
    </row>
    <row r="791" ht="15.75" customHeight="1">
      <c r="C791" s="21"/>
      <c r="G791" s="16"/>
    </row>
    <row r="792" ht="15.75" customHeight="1">
      <c r="C792" s="21"/>
      <c r="G792" s="16"/>
    </row>
    <row r="793" ht="15.75" customHeight="1">
      <c r="C793" s="21"/>
      <c r="G793" s="16"/>
    </row>
    <row r="794" ht="15.75" customHeight="1">
      <c r="C794" s="21"/>
      <c r="G794" s="16"/>
    </row>
    <row r="795" ht="15.75" customHeight="1">
      <c r="C795" s="21"/>
      <c r="G795" s="16"/>
    </row>
    <row r="796" ht="15.75" customHeight="1">
      <c r="C796" s="21"/>
      <c r="G796" s="16"/>
    </row>
    <row r="797" ht="15.75" customHeight="1">
      <c r="C797" s="21"/>
      <c r="G797" s="16"/>
    </row>
    <row r="798" ht="15.75" customHeight="1">
      <c r="C798" s="21"/>
      <c r="G798" s="16"/>
    </row>
    <row r="799" ht="15.75" customHeight="1">
      <c r="C799" s="21"/>
      <c r="G799" s="16"/>
    </row>
    <row r="800" ht="15.75" customHeight="1">
      <c r="C800" s="21"/>
      <c r="G800" s="16"/>
    </row>
    <row r="801" ht="15.75" customHeight="1">
      <c r="C801" s="21"/>
      <c r="G801" s="16"/>
    </row>
    <row r="802" ht="15.75" customHeight="1">
      <c r="C802" s="21"/>
      <c r="G802" s="16"/>
    </row>
    <row r="803" ht="15.75" customHeight="1">
      <c r="C803" s="21"/>
      <c r="G803" s="16"/>
    </row>
    <row r="804" ht="15.75" customHeight="1">
      <c r="C804" s="21"/>
      <c r="G804" s="16"/>
    </row>
    <row r="805" ht="15.75" customHeight="1">
      <c r="C805" s="21"/>
      <c r="G805" s="16"/>
    </row>
    <row r="806" ht="15.75" customHeight="1">
      <c r="C806" s="21"/>
      <c r="G806" s="16"/>
    </row>
    <row r="807" ht="15.75" customHeight="1">
      <c r="C807" s="21"/>
      <c r="G807" s="16"/>
    </row>
    <row r="808" ht="15.75" customHeight="1">
      <c r="C808" s="21"/>
      <c r="G808" s="16"/>
    </row>
    <row r="809" ht="15.75" customHeight="1">
      <c r="C809" s="21"/>
      <c r="G809" s="16"/>
    </row>
    <row r="810" ht="15.75" customHeight="1">
      <c r="C810" s="21"/>
      <c r="G810" s="16"/>
    </row>
    <row r="811" ht="15.75" customHeight="1">
      <c r="C811" s="21"/>
      <c r="G811" s="16"/>
    </row>
    <row r="812" ht="15.75" customHeight="1">
      <c r="C812" s="21"/>
      <c r="G812" s="16"/>
    </row>
    <row r="813" ht="15.75" customHeight="1">
      <c r="C813" s="21"/>
      <c r="G813" s="16"/>
    </row>
    <row r="814" ht="15.75" customHeight="1">
      <c r="C814" s="21"/>
      <c r="G814" s="16"/>
    </row>
    <row r="815" ht="15.75" customHeight="1">
      <c r="C815" s="21"/>
      <c r="G815" s="16"/>
    </row>
    <row r="816" ht="15.75" customHeight="1">
      <c r="C816" s="21"/>
      <c r="G816" s="16"/>
    </row>
    <row r="817" ht="15.75" customHeight="1">
      <c r="C817" s="21"/>
      <c r="G817" s="16"/>
    </row>
    <row r="818" ht="15.75" customHeight="1">
      <c r="C818" s="21"/>
      <c r="G818" s="16"/>
    </row>
    <row r="819" ht="15.75" customHeight="1">
      <c r="C819" s="21"/>
      <c r="G819" s="16"/>
    </row>
    <row r="820" ht="15.75" customHeight="1">
      <c r="C820" s="21"/>
      <c r="G820" s="16"/>
    </row>
    <row r="821" ht="15.75" customHeight="1">
      <c r="C821" s="21"/>
      <c r="G821" s="16"/>
    </row>
    <row r="822" ht="15.75" customHeight="1">
      <c r="C822" s="21"/>
      <c r="G822" s="16"/>
    </row>
    <row r="823" ht="15.75" customHeight="1">
      <c r="C823" s="21"/>
      <c r="G823" s="16"/>
    </row>
    <row r="824" ht="15.75" customHeight="1">
      <c r="C824" s="21"/>
      <c r="G824" s="16"/>
    </row>
    <row r="825" ht="15.75" customHeight="1">
      <c r="C825" s="21"/>
      <c r="G825" s="16"/>
    </row>
    <row r="826" ht="15.75" customHeight="1">
      <c r="C826" s="21"/>
      <c r="G826" s="16"/>
    </row>
    <row r="827" ht="15.75" customHeight="1">
      <c r="C827" s="21"/>
      <c r="G827" s="16"/>
    </row>
    <row r="828" ht="15.75" customHeight="1">
      <c r="C828" s="21"/>
      <c r="G828" s="16"/>
    </row>
    <row r="829" ht="15.75" customHeight="1">
      <c r="C829" s="21"/>
      <c r="G829" s="16"/>
    </row>
    <row r="830" ht="15.75" customHeight="1">
      <c r="C830" s="21"/>
      <c r="G830" s="16"/>
    </row>
    <row r="831" ht="15.75" customHeight="1">
      <c r="C831" s="21"/>
      <c r="G831" s="16"/>
    </row>
    <row r="832" ht="15.75" customHeight="1">
      <c r="C832" s="21"/>
      <c r="G832" s="16"/>
    </row>
    <row r="833" ht="15.75" customHeight="1">
      <c r="C833" s="21"/>
      <c r="G833" s="16"/>
    </row>
    <row r="834" ht="15.75" customHeight="1">
      <c r="C834" s="21"/>
      <c r="G834" s="16"/>
    </row>
    <row r="835" ht="15.75" customHeight="1">
      <c r="C835" s="21"/>
      <c r="G835" s="16"/>
    </row>
    <row r="836" ht="15.75" customHeight="1">
      <c r="C836" s="21"/>
      <c r="G836" s="16"/>
    </row>
    <row r="837" ht="15.75" customHeight="1">
      <c r="C837" s="21"/>
      <c r="G837" s="16"/>
    </row>
    <row r="838" ht="15.75" customHeight="1">
      <c r="C838" s="21"/>
      <c r="G838" s="16"/>
    </row>
    <row r="839" ht="15.75" customHeight="1">
      <c r="C839" s="21"/>
      <c r="G839" s="16"/>
    </row>
    <row r="840" ht="15.75" customHeight="1">
      <c r="C840" s="21"/>
      <c r="G840" s="16"/>
    </row>
    <row r="841" ht="15.75" customHeight="1">
      <c r="C841" s="21"/>
      <c r="G841" s="16"/>
    </row>
    <row r="842" ht="15.75" customHeight="1">
      <c r="C842" s="21"/>
      <c r="G842" s="16"/>
    </row>
    <row r="843" ht="15.75" customHeight="1">
      <c r="C843" s="21"/>
      <c r="G843" s="16"/>
    </row>
    <row r="844" ht="15.75" customHeight="1">
      <c r="C844" s="21"/>
      <c r="G844" s="16"/>
    </row>
    <row r="845" ht="15.75" customHeight="1">
      <c r="C845" s="21"/>
      <c r="G845" s="16"/>
    </row>
    <row r="846" ht="15.75" customHeight="1">
      <c r="C846" s="21"/>
      <c r="G846" s="16"/>
    </row>
    <row r="847" ht="15.75" customHeight="1">
      <c r="C847" s="21"/>
      <c r="G847" s="16"/>
    </row>
    <row r="848" ht="15.75" customHeight="1">
      <c r="C848" s="21"/>
      <c r="G848" s="16"/>
    </row>
    <row r="849" ht="15.75" customHeight="1">
      <c r="C849" s="21"/>
      <c r="G849" s="16"/>
    </row>
    <row r="850" ht="15.75" customHeight="1">
      <c r="C850" s="21"/>
      <c r="G850" s="16"/>
    </row>
    <row r="851" ht="15.75" customHeight="1">
      <c r="C851" s="21"/>
      <c r="G851" s="16"/>
    </row>
    <row r="852" ht="15.75" customHeight="1">
      <c r="C852" s="21"/>
      <c r="G852" s="16"/>
    </row>
    <row r="853" ht="15.75" customHeight="1">
      <c r="C853" s="21"/>
      <c r="G853" s="16"/>
    </row>
    <row r="854" ht="15.75" customHeight="1">
      <c r="C854" s="21"/>
      <c r="G854" s="16"/>
    </row>
    <row r="855" ht="15.75" customHeight="1">
      <c r="C855" s="21"/>
      <c r="G855" s="16"/>
    </row>
    <row r="856" ht="15.75" customHeight="1">
      <c r="C856" s="21"/>
      <c r="G856" s="16"/>
    </row>
    <row r="857" ht="15.75" customHeight="1">
      <c r="C857" s="21"/>
      <c r="G857" s="16"/>
    </row>
    <row r="858" ht="15.75" customHeight="1">
      <c r="C858" s="21"/>
      <c r="G858" s="16"/>
    </row>
    <row r="859" ht="15.75" customHeight="1">
      <c r="C859" s="21"/>
      <c r="G859" s="16"/>
    </row>
    <row r="860" ht="15.75" customHeight="1">
      <c r="C860" s="21"/>
      <c r="G860" s="16"/>
    </row>
    <row r="861" ht="15.75" customHeight="1">
      <c r="C861" s="21"/>
      <c r="G861" s="16"/>
    </row>
    <row r="862" ht="15.75" customHeight="1">
      <c r="C862" s="21"/>
      <c r="G862" s="16"/>
    </row>
    <row r="863" ht="15.75" customHeight="1">
      <c r="C863" s="21"/>
      <c r="G863" s="16"/>
    </row>
    <row r="864" ht="15.75" customHeight="1">
      <c r="C864" s="21"/>
      <c r="G864" s="16"/>
    </row>
    <row r="865" ht="15.75" customHeight="1">
      <c r="C865" s="21"/>
      <c r="G865" s="16"/>
    </row>
    <row r="866" ht="15.75" customHeight="1">
      <c r="C866" s="21"/>
      <c r="G866" s="16"/>
    </row>
    <row r="867" ht="15.75" customHeight="1">
      <c r="C867" s="21"/>
      <c r="G867" s="16"/>
    </row>
    <row r="868" ht="15.75" customHeight="1">
      <c r="C868" s="21"/>
      <c r="G868" s="16"/>
    </row>
    <row r="869" ht="15.75" customHeight="1">
      <c r="C869" s="21"/>
      <c r="G869" s="16"/>
    </row>
    <row r="870" ht="15.75" customHeight="1">
      <c r="C870" s="21"/>
      <c r="G870" s="16"/>
    </row>
    <row r="871" ht="15.75" customHeight="1">
      <c r="C871" s="21"/>
      <c r="G871" s="16"/>
    </row>
    <row r="872" ht="15.75" customHeight="1">
      <c r="C872" s="21"/>
      <c r="G872" s="16"/>
    </row>
    <row r="873" ht="15.75" customHeight="1">
      <c r="C873" s="21"/>
      <c r="G873" s="16"/>
    </row>
    <row r="874" ht="15.75" customHeight="1">
      <c r="C874" s="21"/>
      <c r="G874" s="16"/>
    </row>
    <row r="875" ht="15.75" customHeight="1">
      <c r="C875" s="21"/>
      <c r="G875" s="16"/>
    </row>
    <row r="876" ht="15.75" customHeight="1">
      <c r="C876" s="21"/>
      <c r="G876" s="16"/>
    </row>
    <row r="877" ht="15.75" customHeight="1">
      <c r="C877" s="21"/>
      <c r="G877" s="16"/>
    </row>
    <row r="878" ht="15.75" customHeight="1">
      <c r="C878" s="21"/>
      <c r="G878" s="16"/>
    </row>
    <row r="879" ht="15.75" customHeight="1">
      <c r="C879" s="21"/>
      <c r="G879" s="16"/>
    </row>
    <row r="880" ht="15.75" customHeight="1">
      <c r="C880" s="21"/>
      <c r="G880" s="16"/>
    </row>
    <row r="881" ht="15.75" customHeight="1">
      <c r="C881" s="21"/>
      <c r="G881" s="16"/>
    </row>
    <row r="882" ht="15.75" customHeight="1">
      <c r="C882" s="21"/>
      <c r="G882" s="16"/>
    </row>
    <row r="883" ht="15.75" customHeight="1">
      <c r="C883" s="21"/>
      <c r="G883" s="16"/>
    </row>
    <row r="884" ht="15.75" customHeight="1">
      <c r="C884" s="21"/>
      <c r="G884" s="16"/>
    </row>
    <row r="885" ht="15.75" customHeight="1">
      <c r="C885" s="21"/>
      <c r="G885" s="16"/>
    </row>
    <row r="886" ht="15.75" customHeight="1">
      <c r="C886" s="21"/>
      <c r="G886" s="16"/>
    </row>
    <row r="887" ht="15.75" customHeight="1">
      <c r="C887" s="21"/>
      <c r="G887" s="16"/>
    </row>
    <row r="888" ht="15.75" customHeight="1">
      <c r="C888" s="21"/>
      <c r="G888" s="16"/>
    </row>
    <row r="889" ht="15.75" customHeight="1">
      <c r="C889" s="21"/>
      <c r="G889" s="16"/>
    </row>
    <row r="890" ht="15.75" customHeight="1">
      <c r="C890" s="21"/>
      <c r="G890" s="16"/>
    </row>
    <row r="891" ht="15.75" customHeight="1">
      <c r="C891" s="21"/>
      <c r="G891" s="16"/>
    </row>
    <row r="892" ht="15.75" customHeight="1">
      <c r="C892" s="21"/>
      <c r="G892" s="16"/>
    </row>
    <row r="893" ht="15.75" customHeight="1">
      <c r="C893" s="21"/>
      <c r="G893" s="16"/>
    </row>
    <row r="894" ht="15.75" customHeight="1">
      <c r="C894" s="21"/>
      <c r="G894" s="16"/>
    </row>
    <row r="895" ht="15.75" customHeight="1">
      <c r="C895" s="21"/>
      <c r="G895" s="16"/>
    </row>
    <row r="896" ht="15.75" customHeight="1">
      <c r="C896" s="21"/>
      <c r="G896" s="16"/>
    </row>
    <row r="897" ht="15.75" customHeight="1">
      <c r="C897" s="21"/>
      <c r="G897" s="16"/>
    </row>
    <row r="898" ht="15.75" customHeight="1">
      <c r="C898" s="21"/>
      <c r="G898" s="16"/>
    </row>
    <row r="899" ht="15.75" customHeight="1">
      <c r="C899" s="21"/>
      <c r="G899" s="16"/>
    </row>
    <row r="900" ht="15.75" customHeight="1">
      <c r="C900" s="21"/>
      <c r="G900" s="16"/>
    </row>
    <row r="901" ht="15.75" customHeight="1">
      <c r="C901" s="21"/>
      <c r="G901" s="16"/>
    </row>
    <row r="902" ht="15.75" customHeight="1">
      <c r="C902" s="21"/>
      <c r="G902" s="16"/>
    </row>
    <row r="903" ht="15.75" customHeight="1">
      <c r="C903" s="21"/>
      <c r="G903" s="16"/>
    </row>
    <row r="904" ht="15.75" customHeight="1">
      <c r="C904" s="21"/>
      <c r="G904" s="16"/>
    </row>
    <row r="905" ht="15.75" customHeight="1">
      <c r="C905" s="21"/>
      <c r="G905" s="16"/>
    </row>
    <row r="906" ht="15.75" customHeight="1">
      <c r="C906" s="21"/>
      <c r="G906" s="16"/>
    </row>
    <row r="907" ht="15.75" customHeight="1">
      <c r="C907" s="21"/>
      <c r="G907" s="16"/>
    </row>
    <row r="908" ht="15.75" customHeight="1">
      <c r="C908" s="21"/>
      <c r="G908" s="16"/>
    </row>
    <row r="909" ht="15.75" customHeight="1">
      <c r="C909" s="21"/>
      <c r="G909" s="16"/>
    </row>
    <row r="910" ht="15.75" customHeight="1">
      <c r="C910" s="21"/>
      <c r="G910" s="16"/>
    </row>
    <row r="911" ht="15.75" customHeight="1">
      <c r="C911" s="21"/>
      <c r="G911" s="16"/>
    </row>
    <row r="912" ht="15.75" customHeight="1">
      <c r="C912" s="21"/>
      <c r="G912" s="16"/>
    </row>
    <row r="913" ht="15.75" customHeight="1">
      <c r="C913" s="21"/>
      <c r="G913" s="16"/>
    </row>
    <row r="914" ht="15.75" customHeight="1">
      <c r="C914" s="21"/>
      <c r="G914" s="16"/>
    </row>
    <row r="915" ht="15.75" customHeight="1">
      <c r="C915" s="21"/>
      <c r="G915" s="16"/>
    </row>
    <row r="916" ht="15.75" customHeight="1">
      <c r="C916" s="21"/>
      <c r="G916" s="16"/>
    </row>
    <row r="917" ht="15.75" customHeight="1">
      <c r="C917" s="21"/>
      <c r="G917" s="16"/>
    </row>
    <row r="918" ht="15.75" customHeight="1">
      <c r="C918" s="21"/>
      <c r="G918" s="16"/>
    </row>
    <row r="919" ht="15.75" customHeight="1">
      <c r="C919" s="21"/>
      <c r="G919" s="16"/>
    </row>
    <row r="920" ht="15.75" customHeight="1">
      <c r="C920" s="21"/>
      <c r="G920" s="16"/>
    </row>
    <row r="921" ht="15.75" customHeight="1">
      <c r="C921" s="21"/>
      <c r="G921" s="16"/>
    </row>
    <row r="922" ht="15.75" customHeight="1">
      <c r="C922" s="21"/>
      <c r="G922" s="16"/>
    </row>
    <row r="923" ht="15.75" customHeight="1">
      <c r="C923" s="21"/>
      <c r="G923" s="16"/>
    </row>
    <row r="924" ht="15.75" customHeight="1">
      <c r="C924" s="21"/>
      <c r="G924" s="16"/>
    </row>
    <row r="925" ht="15.75" customHeight="1">
      <c r="C925" s="21"/>
      <c r="G925" s="16"/>
    </row>
    <row r="926" ht="15.75" customHeight="1">
      <c r="C926" s="21"/>
      <c r="G926" s="16"/>
    </row>
    <row r="927" ht="15.75" customHeight="1">
      <c r="C927" s="21"/>
      <c r="G927" s="16"/>
    </row>
    <row r="928" ht="15.75" customHeight="1">
      <c r="C928" s="21"/>
      <c r="G928" s="16"/>
    </row>
    <row r="929" ht="15.75" customHeight="1">
      <c r="C929" s="21"/>
      <c r="G929" s="16"/>
    </row>
    <row r="930" ht="15.75" customHeight="1">
      <c r="C930" s="21"/>
      <c r="G930" s="16"/>
    </row>
    <row r="931" ht="15.75" customHeight="1">
      <c r="C931" s="21"/>
      <c r="G931" s="16"/>
    </row>
    <row r="932" ht="15.75" customHeight="1">
      <c r="C932" s="21"/>
      <c r="G932" s="16"/>
    </row>
    <row r="933" ht="15.75" customHeight="1">
      <c r="C933" s="21"/>
      <c r="G933" s="16"/>
    </row>
    <row r="934" ht="15.75" customHeight="1">
      <c r="C934" s="21"/>
      <c r="G934" s="16"/>
    </row>
    <row r="935" ht="15.75" customHeight="1">
      <c r="C935" s="21"/>
      <c r="G935" s="16"/>
    </row>
    <row r="936" ht="15.75" customHeight="1">
      <c r="C936" s="21"/>
      <c r="G936" s="16"/>
    </row>
    <row r="937" ht="15.75" customHeight="1">
      <c r="C937" s="21"/>
      <c r="G937" s="16"/>
    </row>
    <row r="938" ht="15.75" customHeight="1">
      <c r="C938" s="21"/>
      <c r="G938" s="16"/>
    </row>
    <row r="939" ht="15.75" customHeight="1">
      <c r="C939" s="21"/>
      <c r="G939" s="16"/>
    </row>
    <row r="940" ht="15.75" customHeight="1">
      <c r="C940" s="21"/>
      <c r="G940" s="16"/>
    </row>
    <row r="941" ht="15.75" customHeight="1">
      <c r="C941" s="21"/>
      <c r="G941" s="16"/>
    </row>
    <row r="942" ht="15.75" customHeight="1">
      <c r="C942" s="21"/>
      <c r="G942" s="16"/>
    </row>
    <row r="943" ht="15.75" customHeight="1">
      <c r="C943" s="21"/>
      <c r="G943" s="16"/>
    </row>
    <row r="944" ht="15.75" customHeight="1">
      <c r="C944" s="21"/>
      <c r="G944" s="16"/>
    </row>
    <row r="945" ht="15.75" customHeight="1">
      <c r="C945" s="21"/>
      <c r="G945" s="16"/>
    </row>
    <row r="946" ht="15.75" customHeight="1">
      <c r="C946" s="21"/>
      <c r="G946" s="16"/>
    </row>
    <row r="947" ht="15.75" customHeight="1">
      <c r="C947" s="21"/>
      <c r="G947" s="16"/>
    </row>
    <row r="948" ht="15.75" customHeight="1">
      <c r="C948" s="21"/>
      <c r="G948" s="16"/>
    </row>
    <row r="949" ht="15.75" customHeight="1">
      <c r="C949" s="21"/>
      <c r="G949" s="16"/>
    </row>
    <row r="950" ht="15.75" customHeight="1">
      <c r="C950" s="21"/>
      <c r="G950" s="16"/>
    </row>
    <row r="951" ht="15.75" customHeight="1">
      <c r="C951" s="21"/>
      <c r="G951" s="16"/>
    </row>
    <row r="952" ht="15.75" customHeight="1">
      <c r="C952" s="21"/>
      <c r="G952" s="16"/>
    </row>
    <row r="953" ht="15.75" customHeight="1">
      <c r="C953" s="21"/>
      <c r="G953" s="16"/>
    </row>
    <row r="954" ht="15.75" customHeight="1">
      <c r="C954" s="21"/>
      <c r="G954" s="16"/>
    </row>
    <row r="955" ht="15.75" customHeight="1">
      <c r="C955" s="21"/>
      <c r="G955" s="16"/>
    </row>
    <row r="956" ht="15.75" customHeight="1">
      <c r="C956" s="21"/>
      <c r="G956" s="16"/>
    </row>
    <row r="957" ht="15.75" customHeight="1">
      <c r="C957" s="21"/>
      <c r="G957" s="16"/>
    </row>
    <row r="958" ht="15.75" customHeight="1">
      <c r="C958" s="21"/>
      <c r="G958" s="16"/>
    </row>
    <row r="959" ht="15.75" customHeight="1">
      <c r="C959" s="21"/>
      <c r="G959" s="16"/>
    </row>
    <row r="960" ht="15.75" customHeight="1">
      <c r="C960" s="21"/>
      <c r="G960" s="16"/>
    </row>
    <row r="961" ht="15.75" customHeight="1">
      <c r="C961" s="21"/>
      <c r="G961" s="16"/>
    </row>
    <row r="962" ht="15.75" customHeight="1">
      <c r="C962" s="21"/>
      <c r="G962" s="16"/>
    </row>
    <row r="963" ht="15.75" customHeight="1">
      <c r="C963" s="21"/>
      <c r="G963" s="16"/>
    </row>
    <row r="964" ht="15.75" customHeight="1">
      <c r="C964" s="21"/>
      <c r="G964" s="16"/>
    </row>
    <row r="965" ht="15.75" customHeight="1">
      <c r="C965" s="21"/>
      <c r="G965" s="16"/>
    </row>
    <row r="966" ht="15.75" customHeight="1">
      <c r="C966" s="21"/>
      <c r="G966" s="16"/>
    </row>
    <row r="967" ht="15.75" customHeight="1">
      <c r="C967" s="21"/>
      <c r="G967" s="16"/>
    </row>
    <row r="968" ht="15.75" customHeight="1">
      <c r="C968" s="21"/>
      <c r="G968" s="16"/>
    </row>
    <row r="969" ht="15.75" customHeight="1">
      <c r="C969" s="21"/>
      <c r="G969" s="16"/>
    </row>
    <row r="970" ht="15.75" customHeight="1">
      <c r="C970" s="21"/>
      <c r="G970" s="16"/>
    </row>
    <row r="971" ht="15.75" customHeight="1">
      <c r="C971" s="21"/>
      <c r="G971" s="16"/>
    </row>
    <row r="972" ht="15.75" customHeight="1">
      <c r="C972" s="21"/>
      <c r="G972" s="16"/>
    </row>
    <row r="973" ht="15.75" customHeight="1">
      <c r="C973" s="21"/>
      <c r="G973" s="16"/>
    </row>
    <row r="974" ht="15.75" customHeight="1">
      <c r="C974" s="21"/>
      <c r="G974" s="16"/>
    </row>
    <row r="975" ht="15.75" customHeight="1">
      <c r="C975" s="21"/>
      <c r="G975" s="16"/>
    </row>
    <row r="976" ht="15.75" customHeight="1">
      <c r="C976" s="21"/>
      <c r="G976" s="16"/>
    </row>
    <row r="977" ht="15.75" customHeight="1">
      <c r="C977" s="21"/>
      <c r="G977" s="16"/>
    </row>
    <row r="978" ht="15.75" customHeight="1">
      <c r="C978" s="21"/>
      <c r="G978" s="16"/>
    </row>
    <row r="979" ht="15.75" customHeight="1">
      <c r="C979" s="21"/>
      <c r="G979" s="16"/>
    </row>
    <row r="980" ht="15.75" customHeight="1">
      <c r="C980" s="21"/>
      <c r="G980" s="16"/>
    </row>
    <row r="981" ht="15.75" customHeight="1">
      <c r="C981" s="21"/>
      <c r="G981" s="16"/>
    </row>
    <row r="982" ht="15.75" customHeight="1">
      <c r="C982" s="21"/>
      <c r="G982" s="16"/>
    </row>
    <row r="983" ht="15.75" customHeight="1">
      <c r="C983" s="21"/>
      <c r="G983" s="16"/>
    </row>
    <row r="984" ht="15.75" customHeight="1">
      <c r="C984" s="21"/>
      <c r="G984" s="16"/>
    </row>
    <row r="985" ht="15.75" customHeight="1">
      <c r="C985" s="21"/>
      <c r="G985" s="16"/>
    </row>
    <row r="986" ht="15.75" customHeight="1">
      <c r="C986" s="21"/>
      <c r="G986" s="16"/>
    </row>
    <row r="987" ht="15.75" customHeight="1">
      <c r="C987" s="21"/>
      <c r="G987" s="16"/>
    </row>
    <row r="988" ht="15.75" customHeight="1">
      <c r="C988" s="21"/>
      <c r="G988" s="16"/>
    </row>
    <row r="989" ht="15.75" customHeight="1">
      <c r="C989" s="21"/>
      <c r="G989" s="16"/>
    </row>
    <row r="990" ht="15.75" customHeight="1">
      <c r="C990" s="21"/>
      <c r="G990" s="16"/>
    </row>
    <row r="991" ht="15.75" customHeight="1">
      <c r="C991" s="21"/>
      <c r="G991" s="16"/>
    </row>
    <row r="992" ht="15.75" customHeight="1">
      <c r="C992" s="21"/>
      <c r="G992" s="16"/>
    </row>
    <row r="993" ht="15.75" customHeight="1">
      <c r="C993" s="21"/>
      <c r="G993" s="16"/>
    </row>
    <row r="994" ht="15.75" customHeight="1">
      <c r="C994" s="21"/>
      <c r="G994" s="16"/>
    </row>
    <row r="995" ht="15.75" customHeight="1">
      <c r="C995" s="21"/>
      <c r="G995" s="16"/>
    </row>
    <row r="996" ht="15.75" customHeight="1">
      <c r="C996" s="21"/>
      <c r="G996" s="16"/>
    </row>
    <row r="997" ht="15.75" customHeight="1">
      <c r="C997" s="21"/>
      <c r="G997" s="16"/>
    </row>
    <row r="998" ht="15.75" customHeight="1">
      <c r="C998" s="21"/>
      <c r="G998" s="16"/>
    </row>
    <row r="999" ht="15.75" customHeight="1">
      <c r="C999" s="21"/>
      <c r="G999" s="16"/>
    </row>
    <row r="1000" ht="15.75" customHeight="1">
      <c r="C1000" s="21"/>
      <c r="G1000" s="16"/>
    </row>
  </sheetData>
  <printOptions/>
  <pageMargins bottom="1.0" footer="0.0" header="0.0" left="0.75" right="0.75" top="1.0"/>
  <pageSetup orientation="landscape"/>
  <drawing r:id="rId1"/>
</worksheet>
</file>